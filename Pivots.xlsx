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HRUTI\Downloads\"/>
    </mc:Choice>
  </mc:AlternateContent>
  <xr:revisionPtr revIDLastSave="0" documentId="13_ncr:1_{261C7313-0B47-48CC-984F-ED435CC168CE}" xr6:coauthVersionLast="47" xr6:coauthVersionMax="47" xr10:uidLastSave="{00000000-0000-0000-0000-000000000000}"/>
  <bookViews>
    <workbookView xWindow="-108" yWindow="-108" windowWidth="23256" windowHeight="12456" activeTab="2" xr2:uid="{00000000-000D-0000-FFFF-FFFF00000000}"/>
  </bookViews>
  <sheets>
    <sheet name="Pivots" sheetId="3" r:id="rId1"/>
    <sheet name="Raw_Data" sheetId="1" r:id="rId2"/>
    <sheet name="Pivot Charts" sheetId="2" r:id="rId3"/>
    <sheet name="Dashboard" sheetId="4" r:id="rId4"/>
  </sheets>
  <definedNames>
    <definedName name="Slicer_Branch">#N/A</definedName>
    <definedName name="Slicer_CompanyType">#N/A</definedName>
    <definedName name="Slicer_Month">#N/A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4" l="1"/>
  <c r="C8" i="4"/>
  <c r="C6" i="4"/>
  <c r="C4" i="4"/>
  <c r="O3" i="1"/>
  <c r="O4" i="1"/>
  <c r="O5" i="1"/>
  <c r="O6" i="1"/>
  <c r="O7" i="1"/>
  <c r="O8" i="1"/>
  <c r="O9" i="1"/>
  <c r="O10" i="1"/>
  <c r="O11" i="1"/>
  <c r="O12" i="1"/>
  <c r="O13" i="1"/>
  <c r="O14" i="1"/>
  <c r="O15" i="1"/>
  <c r="O16" i="1"/>
  <c r="O17" i="1"/>
  <c r="O18" i="1"/>
  <c r="O19" i="1"/>
  <c r="O20" i="1"/>
  <c r="O21" i="1"/>
  <c r="O22" i="1"/>
  <c r="O23" i="1"/>
  <c r="O24" i="1"/>
  <c r="O25" i="1"/>
  <c r="O26" i="1"/>
  <c r="O2" i="1"/>
  <c r="N26" i="1"/>
  <c r="N3" i="1"/>
  <c r="N4" i="1"/>
  <c r="N5" i="1"/>
  <c r="N6" i="1"/>
  <c r="N7" i="1"/>
  <c r="N8" i="1"/>
  <c r="N9" i="1"/>
  <c r="N10" i="1"/>
  <c r="N11" i="1"/>
  <c r="N12" i="1"/>
  <c r="N13" i="1"/>
  <c r="N14" i="1"/>
  <c r="N15" i="1"/>
  <c r="N16" i="1"/>
  <c r="N17" i="1"/>
  <c r="N18" i="1"/>
  <c r="N19" i="1"/>
  <c r="N20" i="1"/>
  <c r="N21" i="1"/>
  <c r="N22" i="1"/>
  <c r="N23" i="1"/>
  <c r="N24" i="1"/>
  <c r="N25" i="1"/>
  <c r="N2" i="1"/>
</calcChain>
</file>

<file path=xl/sharedStrings.xml><?xml version="1.0" encoding="utf-8"?>
<sst xmlns="http://schemas.openxmlformats.org/spreadsheetml/2006/main" count="304" uniqueCount="130">
  <si>
    <t>StudentID</t>
  </si>
  <si>
    <t>StudentName</t>
  </si>
  <si>
    <t>Branch</t>
  </si>
  <si>
    <t>CGPA</t>
  </si>
  <si>
    <t>Internship</t>
  </si>
  <si>
    <t>Skills</t>
  </si>
  <si>
    <t>Company</t>
  </si>
  <si>
    <t>CompanyType</t>
  </si>
  <si>
    <t>Package_LPA</t>
  </si>
  <si>
    <t>PlacementStatus</t>
  </si>
  <si>
    <t>InterviewScore</t>
  </si>
  <si>
    <t>Month</t>
  </si>
  <si>
    <t>Location</t>
  </si>
  <si>
    <t>S001</t>
  </si>
  <si>
    <t>Aarav</t>
  </si>
  <si>
    <t>CS</t>
  </si>
  <si>
    <t>Yes</t>
  </si>
  <si>
    <t>Python;SQL</t>
  </si>
  <si>
    <t>TCS</t>
  </si>
  <si>
    <t>Service</t>
  </si>
  <si>
    <t>Placed</t>
  </si>
  <si>
    <t>Jan</t>
  </si>
  <si>
    <t>Pune</t>
  </si>
  <si>
    <t>S002</t>
  </si>
  <si>
    <t>Riya</t>
  </si>
  <si>
    <t>IT</t>
  </si>
  <si>
    <t>No</t>
  </si>
  <si>
    <t>Java;DSA</t>
  </si>
  <si>
    <t>Infosys</t>
  </si>
  <si>
    <t>Feb</t>
  </si>
  <si>
    <t>Bangalore</t>
  </si>
  <si>
    <t>S003</t>
  </si>
  <si>
    <t>Kunal</t>
  </si>
  <si>
    <t>ME</t>
  </si>
  <si>
    <t>AutoCAD</t>
  </si>
  <si>
    <t>NA</t>
  </si>
  <si>
    <t>Not Placed</t>
  </si>
  <si>
    <t>Mar</t>
  </si>
  <si>
    <t>S004</t>
  </si>
  <si>
    <t>Neha</t>
  </si>
  <si>
    <t>Python;ML</t>
  </si>
  <si>
    <t>Amazon</t>
  </si>
  <si>
    <t>Product</t>
  </si>
  <si>
    <t>Hyderabad</t>
  </si>
  <si>
    <t>S005</t>
  </si>
  <si>
    <t>Rohan</t>
  </si>
  <si>
    <t>EE</t>
  </si>
  <si>
    <t>Core EE</t>
  </si>
  <si>
    <t>Apr</t>
  </si>
  <si>
    <t>S006</t>
  </si>
  <si>
    <t>Simran</t>
  </si>
  <si>
    <t>Web;React</t>
  </si>
  <si>
    <t>Wipro</t>
  </si>
  <si>
    <t>S007</t>
  </si>
  <si>
    <t>Aditya</t>
  </si>
  <si>
    <t>Accenture</t>
  </si>
  <si>
    <t>Mumbai</t>
  </si>
  <si>
    <t>S008</t>
  </si>
  <si>
    <t>Pooja</t>
  </si>
  <si>
    <t>May</t>
  </si>
  <si>
    <t>S009</t>
  </si>
  <si>
    <t>Amit</t>
  </si>
  <si>
    <t>Design</t>
  </si>
  <si>
    <t>LTTS</t>
  </si>
  <si>
    <t>Chennai</t>
  </si>
  <si>
    <t>S010</t>
  </si>
  <si>
    <t>Kavya</t>
  </si>
  <si>
    <t>ML;Python</t>
  </si>
  <si>
    <t>Google</t>
  </si>
  <si>
    <t>S011</t>
  </si>
  <si>
    <t>Raj</t>
  </si>
  <si>
    <t>Testing</t>
  </si>
  <si>
    <t>Jun</t>
  </si>
  <si>
    <t>S012</t>
  </si>
  <si>
    <t>Sneha</t>
  </si>
  <si>
    <t>Python;Data</t>
  </si>
  <si>
    <t>S013</t>
  </si>
  <si>
    <t>Omkar</t>
  </si>
  <si>
    <t>Siemens</t>
  </si>
  <si>
    <t>S014</t>
  </si>
  <si>
    <t>Meera</t>
  </si>
  <si>
    <t>Java;SQL</t>
  </si>
  <si>
    <t>Capgemini</t>
  </si>
  <si>
    <t>S015</t>
  </si>
  <si>
    <t>Varun</t>
  </si>
  <si>
    <t>Web;Node</t>
  </si>
  <si>
    <t>S016</t>
  </si>
  <si>
    <t>Anjali</t>
  </si>
  <si>
    <t>Microsoft</t>
  </si>
  <si>
    <t>S017</t>
  </si>
  <si>
    <t>Tejas</t>
  </si>
  <si>
    <t>Core ME</t>
  </si>
  <si>
    <t>S018</t>
  </si>
  <si>
    <t>Divya</t>
  </si>
  <si>
    <t>S019</t>
  </si>
  <si>
    <t>Nikhil</t>
  </si>
  <si>
    <t>Data;SQL</t>
  </si>
  <si>
    <t>S020</t>
  </si>
  <si>
    <t>Prerna</t>
  </si>
  <si>
    <t>S021</t>
  </si>
  <si>
    <t>Yash</t>
  </si>
  <si>
    <t>React;JS</t>
  </si>
  <si>
    <t>S022</t>
  </si>
  <si>
    <t>Tanvi</t>
  </si>
  <si>
    <t>S023</t>
  </si>
  <si>
    <t>Sagar</t>
  </si>
  <si>
    <t>S024</t>
  </si>
  <si>
    <t>Isha</t>
  </si>
  <si>
    <t>Data;Python</t>
  </si>
  <si>
    <t>S025</t>
  </si>
  <si>
    <t>Harsh</t>
  </si>
  <si>
    <t>Placement Flag</t>
  </si>
  <si>
    <t>Internship Flag</t>
  </si>
  <si>
    <t>Row Labels</t>
  </si>
  <si>
    <t>Grand Total</t>
  </si>
  <si>
    <t>Sum of Placement Flag</t>
  </si>
  <si>
    <t>Count of StudentID</t>
  </si>
  <si>
    <t>Placement by Branch</t>
  </si>
  <si>
    <t>Average Package by Company</t>
  </si>
  <si>
    <t>(blank)</t>
  </si>
  <si>
    <t>Sum of Package_LPA</t>
  </si>
  <si>
    <t>(All)</t>
  </si>
  <si>
    <t>Internship vs Placement</t>
  </si>
  <si>
    <t>Column Labels</t>
  </si>
  <si>
    <t>Placement By Month</t>
  </si>
  <si>
    <t>STUDENT PLACEMENT DASHBOARD</t>
  </si>
  <si>
    <t>Total Students</t>
  </si>
  <si>
    <t>Placed Students</t>
  </si>
  <si>
    <t>Placement %</t>
  </si>
  <si>
    <t>Highest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</si>
</sst>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theme="1"/>
      <name val="Calibri"/>
      <family val="2"/>
      <scheme val="minor"/>
    </font>
    <font>
      <sz val="11"/>
      <color rgb="FFFF0000"/>
      <name val="Calibri"/>
      <family val="2"/>
      <scheme val="minor"/>
    </font>
    <font>
      <b/>
      <sz val="20"/>
      <color theme="1"/>
      <name val="Calibri"/>
      <family val="2"/>
      <scheme val="minor"/>
    </font>
    <font>
      <b/>
      <sz val="14"/>
      <color rgb="FFFF000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0" fontId="0" fillId="0" borderId="0" xfId="0" applyBorder="1"/>
    <xf numFmtId="0" fontId="4" fillId="0" borderId="1" xfId="0" applyFont="1" applyBorder="1"/>
    <xf numFmtId="0" fontId="2" fillId="0" borderId="1" xfId="0" applyFont="1" applyBorder="1"/>
    <xf numFmtId="0" fontId="0" fillId="2" borderId="1" xfId="0" applyFill="1" applyBorder="1"/>
    <xf numFmtId="0" fontId="3" fillId="3" borderId="0" xfId="0" applyFont="1" applyFill="1"/>
    <xf numFmtId="0" fontId="0" fillId="3" borderId="0" xfId="0" applyFill="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Placement by Branch</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Pivots!$B$3</c:f>
              <c:strCache>
                <c:ptCount val="1"/>
                <c:pt idx="0">
                  <c:v>Sum of Placement Flag</c:v>
                </c:pt>
              </c:strCache>
            </c:strRef>
          </c:tx>
          <c:spPr>
            <a:solidFill>
              <a:schemeClr val="accent1"/>
            </a:solidFill>
            <a:ln>
              <a:noFill/>
            </a:ln>
            <a:effectLst/>
          </c:spPr>
          <c:invertIfNegative val="0"/>
          <c:cat>
            <c:strRef>
              <c:f>Pivots!$A$4:$A$8</c:f>
              <c:strCache>
                <c:ptCount val="4"/>
                <c:pt idx="0">
                  <c:v>CS</c:v>
                </c:pt>
                <c:pt idx="1">
                  <c:v>EE</c:v>
                </c:pt>
                <c:pt idx="2">
                  <c:v>IT</c:v>
                </c:pt>
                <c:pt idx="3">
                  <c:v>ME</c:v>
                </c:pt>
              </c:strCache>
            </c:strRef>
          </c:cat>
          <c:val>
            <c:numRef>
              <c:f>Pivots!$B$4:$B$8</c:f>
              <c:numCache>
                <c:formatCode>General</c:formatCode>
                <c:ptCount val="4"/>
                <c:pt idx="0">
                  <c:v>9</c:v>
                </c:pt>
                <c:pt idx="1">
                  <c:v>1</c:v>
                </c:pt>
                <c:pt idx="2">
                  <c:v>5</c:v>
                </c:pt>
                <c:pt idx="3">
                  <c:v>2</c:v>
                </c:pt>
              </c:numCache>
            </c:numRef>
          </c:val>
          <c:extLst>
            <c:ext xmlns:c16="http://schemas.microsoft.com/office/drawing/2014/chart" uri="{C3380CC4-5D6E-409C-BE32-E72D297353CC}">
              <c16:uniqueId val="{00000000-DB81-44D5-AEA0-016D624F4FB5}"/>
            </c:ext>
          </c:extLst>
        </c:ser>
        <c:ser>
          <c:idx val="1"/>
          <c:order val="1"/>
          <c:tx>
            <c:strRef>
              <c:f>Pivots!$C$3</c:f>
              <c:strCache>
                <c:ptCount val="1"/>
                <c:pt idx="0">
                  <c:v>Count of StudentID</c:v>
                </c:pt>
              </c:strCache>
            </c:strRef>
          </c:tx>
          <c:spPr>
            <a:solidFill>
              <a:schemeClr val="accent2"/>
            </a:solidFill>
            <a:ln>
              <a:noFill/>
            </a:ln>
            <a:effectLst/>
          </c:spPr>
          <c:invertIfNegative val="0"/>
          <c:cat>
            <c:strRef>
              <c:f>Pivots!$A$4:$A$8</c:f>
              <c:strCache>
                <c:ptCount val="4"/>
                <c:pt idx="0">
                  <c:v>CS</c:v>
                </c:pt>
                <c:pt idx="1">
                  <c:v>EE</c:v>
                </c:pt>
                <c:pt idx="2">
                  <c:v>IT</c:v>
                </c:pt>
                <c:pt idx="3">
                  <c:v>ME</c:v>
                </c:pt>
              </c:strCache>
            </c:strRef>
          </c:cat>
          <c:val>
            <c:numRef>
              <c:f>Pivots!$C$4:$C$8</c:f>
              <c:numCache>
                <c:formatCode>General</c:formatCode>
                <c:ptCount val="4"/>
                <c:pt idx="0">
                  <c:v>11</c:v>
                </c:pt>
                <c:pt idx="1">
                  <c:v>4</c:v>
                </c:pt>
                <c:pt idx="2">
                  <c:v>6</c:v>
                </c:pt>
                <c:pt idx="3">
                  <c:v>4</c:v>
                </c:pt>
              </c:numCache>
            </c:numRef>
          </c:val>
          <c:extLst>
            <c:ext xmlns:c16="http://schemas.microsoft.com/office/drawing/2014/chart" uri="{C3380CC4-5D6E-409C-BE32-E72D297353CC}">
              <c16:uniqueId val="{00000001-DB81-44D5-AEA0-016D624F4FB5}"/>
            </c:ext>
          </c:extLst>
        </c:ser>
        <c:dLbls>
          <c:showLegendKey val="0"/>
          <c:showVal val="0"/>
          <c:showCatName val="0"/>
          <c:showSerName val="0"/>
          <c:showPercent val="0"/>
          <c:showBubbleSize val="0"/>
        </c:dLbls>
        <c:gapWidth val="150"/>
        <c:overlap val="100"/>
        <c:axId val="2041052575"/>
        <c:axId val="2041067935"/>
      </c:barChart>
      <c:catAx>
        <c:axId val="20410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67935"/>
        <c:crosses val="autoZero"/>
        <c:auto val="1"/>
        <c:lblAlgn val="ctr"/>
        <c:lblOffset val="100"/>
        <c:noMultiLvlLbl val="0"/>
      </c:catAx>
      <c:valAx>
        <c:axId val="204106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5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Average</a:t>
            </a:r>
            <a:r>
              <a:rPr lang="en-IN" sz="1600" b="1" baseline="0"/>
              <a:t> Package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2D-442E-948C-BE0F9A704D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2D-442E-948C-BE0F9A704D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2D-442E-948C-BE0F9A704D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2D-442E-948C-BE0F9A704D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2D-442E-948C-BE0F9A704D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2D-442E-948C-BE0F9A704D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2D-442E-948C-BE0F9A704DD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2D-442E-948C-BE0F9A704DD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2D-442E-948C-BE0F9A704DD4}"/>
              </c:ext>
            </c:extLst>
          </c:dPt>
          <c:cat>
            <c:strRef>
              <c:f>Pivots!$G$5:$G$14</c:f>
              <c:strCache>
                <c:ptCount val="9"/>
                <c:pt idx="0">
                  <c:v>Capgemini</c:v>
                </c:pt>
                <c:pt idx="1">
                  <c:v>Google</c:v>
                </c:pt>
                <c:pt idx="2">
                  <c:v>Infosys</c:v>
                </c:pt>
                <c:pt idx="3">
                  <c:v>LTTS</c:v>
                </c:pt>
                <c:pt idx="4">
                  <c:v>Microsoft</c:v>
                </c:pt>
                <c:pt idx="5">
                  <c:v>Siemens</c:v>
                </c:pt>
                <c:pt idx="6">
                  <c:v>TCS</c:v>
                </c:pt>
                <c:pt idx="7">
                  <c:v>Wipro</c:v>
                </c:pt>
                <c:pt idx="8">
                  <c:v>(blank)</c:v>
                </c:pt>
              </c:strCache>
            </c:strRef>
          </c:cat>
          <c:val>
            <c:numRef>
              <c:f>Pivots!$H$5:$H$14</c:f>
              <c:numCache>
                <c:formatCode>General</c:formatCode>
                <c:ptCount val="9"/>
                <c:pt idx="0">
                  <c:v>6.2</c:v>
                </c:pt>
                <c:pt idx="1">
                  <c:v>47</c:v>
                </c:pt>
                <c:pt idx="2">
                  <c:v>12.8</c:v>
                </c:pt>
                <c:pt idx="3">
                  <c:v>11.3</c:v>
                </c:pt>
                <c:pt idx="4">
                  <c:v>39</c:v>
                </c:pt>
                <c:pt idx="5">
                  <c:v>9</c:v>
                </c:pt>
                <c:pt idx="6">
                  <c:v>14</c:v>
                </c:pt>
                <c:pt idx="7">
                  <c:v>13</c:v>
                </c:pt>
                <c:pt idx="8">
                  <c:v>0</c:v>
                </c:pt>
              </c:numCache>
            </c:numRef>
          </c:val>
          <c:extLst>
            <c:ext xmlns:c16="http://schemas.microsoft.com/office/drawing/2014/chart" uri="{C3380CC4-5D6E-409C-BE32-E72D297353CC}">
              <c16:uniqueId val="{00000012-2F2D-442E-948C-BE0F9A704DD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[Pivots.xlsx]Pivots!PivotTable3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Internship</a:t>
            </a:r>
            <a:r>
              <a:rPr lang="en-US" sz="1600" b="1" baseline="0"/>
              <a:t> vs Placements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Pivots!$M$2:$M$3</c:f>
              <c:strCache>
                <c:ptCount val="1"/>
                <c:pt idx="0">
                  <c:v>Not Placed</c:v>
                </c:pt>
              </c:strCache>
            </c:strRef>
          </c:tx>
          <c:spPr>
            <a:solidFill>
              <a:schemeClr val="accent1"/>
            </a:solidFill>
            <a:ln>
              <a:noFill/>
            </a:ln>
            <a:effectLst/>
          </c:spPr>
          <c:cat>
            <c:strRef>
              <c:f>Pivots!$L$4:$L$6</c:f>
              <c:strCache>
                <c:ptCount val="2"/>
                <c:pt idx="0">
                  <c:v>No</c:v>
                </c:pt>
                <c:pt idx="1">
                  <c:v>Yes</c:v>
                </c:pt>
              </c:strCache>
            </c:strRef>
          </c:cat>
          <c:val>
            <c:numRef>
              <c:f>Pivots!$M$4:$M$6</c:f>
              <c:numCache>
                <c:formatCode>General</c:formatCode>
                <c:ptCount val="2"/>
                <c:pt idx="0">
                  <c:v>7</c:v>
                </c:pt>
                <c:pt idx="1">
                  <c:v>1</c:v>
                </c:pt>
              </c:numCache>
            </c:numRef>
          </c:val>
          <c:extLst>
            <c:ext xmlns:c16="http://schemas.microsoft.com/office/drawing/2014/chart" uri="{C3380CC4-5D6E-409C-BE32-E72D297353CC}">
              <c16:uniqueId val="{00000000-60F1-4884-B658-63B72DAFD093}"/>
            </c:ext>
          </c:extLst>
        </c:ser>
        <c:ser>
          <c:idx val="1"/>
          <c:order val="1"/>
          <c:tx>
            <c:strRef>
              <c:f>Pivots!$N$2:$N$3</c:f>
              <c:strCache>
                <c:ptCount val="1"/>
                <c:pt idx="0">
                  <c:v>Placed</c:v>
                </c:pt>
              </c:strCache>
            </c:strRef>
          </c:tx>
          <c:spPr>
            <a:solidFill>
              <a:schemeClr val="accent2"/>
            </a:solidFill>
            <a:ln w="25400">
              <a:noFill/>
            </a:ln>
            <a:effectLst/>
          </c:spPr>
          <c:cat>
            <c:strRef>
              <c:f>Pivots!$L$4:$L$6</c:f>
              <c:strCache>
                <c:ptCount val="2"/>
                <c:pt idx="0">
                  <c:v>No</c:v>
                </c:pt>
                <c:pt idx="1">
                  <c:v>Yes</c:v>
                </c:pt>
              </c:strCache>
            </c:strRef>
          </c:cat>
          <c:val>
            <c:numRef>
              <c:f>Pivots!$N$4:$N$6</c:f>
              <c:numCache>
                <c:formatCode>General</c:formatCode>
                <c:ptCount val="2"/>
                <c:pt idx="0">
                  <c:v>2</c:v>
                </c:pt>
                <c:pt idx="1">
                  <c:v>15</c:v>
                </c:pt>
              </c:numCache>
            </c:numRef>
          </c:val>
          <c:extLst>
            <c:ext xmlns:c16="http://schemas.microsoft.com/office/drawing/2014/chart" uri="{C3380CC4-5D6E-409C-BE32-E72D297353CC}">
              <c16:uniqueId val="{00000001-60F1-4884-B658-63B72DAFD093}"/>
            </c:ext>
          </c:extLst>
        </c:ser>
        <c:dLbls>
          <c:showLegendKey val="0"/>
          <c:showVal val="0"/>
          <c:showCatName val="0"/>
          <c:showSerName val="0"/>
          <c:showPercent val="0"/>
          <c:showBubbleSize val="0"/>
        </c:dLbls>
        <c:axId val="60593279"/>
        <c:axId val="60610079"/>
      </c:areaChart>
      <c:catAx>
        <c:axId val="6059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0079"/>
        <c:crosses val="autoZero"/>
        <c:auto val="1"/>
        <c:lblAlgn val="ctr"/>
        <c:lblOffset val="100"/>
        <c:noMultiLvlLbl val="0"/>
      </c:catAx>
      <c:valAx>
        <c:axId val="6061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932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Placement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Pivots!$L$11</c:f>
              <c:strCache>
                <c:ptCount val="1"/>
                <c:pt idx="0">
                  <c:v>Total</c:v>
                </c:pt>
              </c:strCache>
            </c:strRef>
          </c:tx>
          <c:spPr>
            <a:ln w="28575" cap="rnd">
              <a:solidFill>
                <a:schemeClr val="accent1"/>
              </a:solidFill>
              <a:round/>
            </a:ln>
            <a:effectLst/>
          </c:spPr>
          <c:marker>
            <c:symbol val="none"/>
          </c:marker>
          <c:cat>
            <c:strRef>
              <c:f>Pivots!$K$12:$K$16</c:f>
              <c:strCache>
                <c:ptCount val="4"/>
                <c:pt idx="0">
                  <c:v>Mar</c:v>
                </c:pt>
                <c:pt idx="1">
                  <c:v>Apr</c:v>
                </c:pt>
                <c:pt idx="2">
                  <c:v>May</c:v>
                </c:pt>
                <c:pt idx="3">
                  <c:v>Jun</c:v>
                </c:pt>
              </c:strCache>
            </c:strRef>
          </c:cat>
          <c:val>
            <c:numRef>
              <c:f>Pivots!$L$12:$L$16</c:f>
              <c:numCache>
                <c:formatCode>General</c:formatCode>
                <c:ptCount val="4"/>
                <c:pt idx="0">
                  <c:v>4</c:v>
                </c:pt>
                <c:pt idx="1">
                  <c:v>3</c:v>
                </c:pt>
                <c:pt idx="2">
                  <c:v>0</c:v>
                </c:pt>
                <c:pt idx="3">
                  <c:v>0</c:v>
                </c:pt>
              </c:numCache>
            </c:numRef>
          </c:val>
          <c:smooth val="0"/>
          <c:extLst>
            <c:ext xmlns:c16="http://schemas.microsoft.com/office/drawing/2014/chart" uri="{C3380CC4-5D6E-409C-BE32-E72D297353CC}">
              <c16:uniqueId val="{00000000-3BE9-472F-B4EE-A2B88DEE2C3B}"/>
            </c:ext>
          </c:extLst>
        </c:ser>
        <c:dLbls>
          <c:showLegendKey val="0"/>
          <c:showVal val="0"/>
          <c:showCatName val="0"/>
          <c:showSerName val="0"/>
          <c:showPercent val="0"/>
          <c:showBubbleSize val="0"/>
        </c:dLbls>
        <c:smooth val="0"/>
        <c:axId val="60631199"/>
        <c:axId val="60621599"/>
      </c:lineChart>
      <c:catAx>
        <c:axId val="6063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1599"/>
        <c:crosses val="autoZero"/>
        <c:auto val="1"/>
        <c:lblAlgn val="ctr"/>
        <c:lblOffset val="100"/>
        <c:noMultiLvlLbl val="0"/>
      </c:catAx>
      <c:valAx>
        <c:axId val="6062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519056</xdr:colOff>
      <xdr:row>2</xdr:row>
      <xdr:rowOff>114449</xdr:rowOff>
    </xdr:from>
    <xdr:to>
      <xdr:col>8</xdr:col>
      <xdr:colOff>114300</xdr:colOff>
      <xdr:row>18</xdr:row>
      <xdr:rowOff>91441</xdr:rowOff>
    </xdr:to>
    <xdr:graphicFrame macro="">
      <xdr:nvGraphicFramePr>
        <xdr:cNvPr id="2" name="Chart 1">
          <a:extLst>
            <a:ext uri="{FF2B5EF4-FFF2-40B4-BE49-F238E27FC236}">
              <a16:creationId xmlns:a16="http://schemas.microsoft.com/office/drawing/2014/main" id="{8E885A07-A4B5-5678-5FCD-EB2C9E5F0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131780</xdr:colOff>
      <xdr:row>2</xdr:row>
      <xdr:rowOff>125356</xdr:rowOff>
    </xdr:from>
    <xdr:to>
      <xdr:col>23</xdr:col>
      <xdr:colOff>571499</xdr:colOff>
      <xdr:row>18</xdr:row>
      <xdr:rowOff>83820</xdr:rowOff>
    </xdr:to>
    <xdr:graphicFrame macro="">
      <xdr:nvGraphicFramePr>
        <xdr:cNvPr id="3" name="Chart 2">
          <a:extLst>
            <a:ext uri="{FF2B5EF4-FFF2-40B4-BE49-F238E27FC236}">
              <a16:creationId xmlns:a16="http://schemas.microsoft.com/office/drawing/2014/main" id="{AFE0D0A4-2E34-37D3-4249-4F7107D2C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376218</xdr:colOff>
      <xdr:row>22</xdr:row>
      <xdr:rowOff>3286</xdr:rowOff>
    </xdr:from>
    <xdr:to>
      <xdr:col>8</xdr:col>
      <xdr:colOff>71418</xdr:colOff>
      <xdr:row>37</xdr:row>
      <xdr:rowOff>3286</xdr:rowOff>
    </xdr:to>
    <xdr:graphicFrame macro="">
      <xdr:nvGraphicFramePr>
        <xdr:cNvPr id="4" name="Chart 3">
          <a:extLst>
            <a:ext uri="{FF2B5EF4-FFF2-40B4-BE49-F238E27FC236}">
              <a16:creationId xmlns:a16="http://schemas.microsoft.com/office/drawing/2014/main" id="{3223475E-FDF9-3284-902A-B89813888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15388</xdr:colOff>
      <xdr:row>21</xdr:row>
      <xdr:rowOff>140596</xdr:rowOff>
    </xdr:from>
    <xdr:to>
      <xdr:col>18</xdr:col>
      <xdr:colOff>495299</xdr:colOff>
      <xdr:row>36</xdr:row>
      <xdr:rowOff>121920</xdr:rowOff>
    </xdr:to>
    <xdr:graphicFrame macro="">
      <xdr:nvGraphicFramePr>
        <xdr:cNvPr id="5" name="Chart 4">
          <a:extLst>
            <a:ext uri="{FF2B5EF4-FFF2-40B4-BE49-F238E27FC236}">
              <a16:creationId xmlns:a16="http://schemas.microsoft.com/office/drawing/2014/main" id="{B1BAABE0-FC03-5C09-3F88-188E0493D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304800</xdr:colOff>
      <xdr:row>1</xdr:row>
      <xdr:rowOff>60961</xdr:rowOff>
    </xdr:from>
    <xdr:to>
      <xdr:col>11</xdr:col>
      <xdr:colOff>304800</xdr:colOff>
      <xdr:row>10</xdr:row>
      <xdr:rowOff>30481</xdr:rowOff>
    </xdr:to>
    <mc:AlternateContent xmlns:mc="http://schemas.openxmlformats.org/markup-compatibility/2006">
      <mc:Choice xmlns:a14="http://schemas.microsoft.com/office/drawing/2010/main" Requires="a14">
        <xdr:graphicFrame macro="">
          <xdr:nvGraphicFramePr>
            <xdr:cNvPr id="6" name="Branch">
              <a:extLst>
                <a:ext uri="{FF2B5EF4-FFF2-40B4-BE49-F238E27FC236}">
                  <a16:creationId xmlns:a16="http://schemas.microsoft.com/office/drawing/2014/main" id="{A1B3020D-CCAC-CB78-B448-E86AEE584F3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5181600" y="24384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10</xdr:row>
      <xdr:rowOff>167641</xdr:rowOff>
    </xdr:from>
    <xdr:to>
      <xdr:col>11</xdr:col>
      <xdr:colOff>304800</xdr:colOff>
      <xdr:row>17</xdr:row>
      <xdr:rowOff>144780</xdr:rowOff>
    </xdr:to>
    <mc:AlternateContent xmlns:mc="http://schemas.openxmlformats.org/markup-compatibility/2006">
      <mc:Choice xmlns:a14="http://schemas.microsoft.com/office/drawing/2010/main" Requires="a14">
        <xdr:graphicFrame macro="">
          <xdr:nvGraphicFramePr>
            <xdr:cNvPr id="7" name="CompanyType">
              <a:extLst>
                <a:ext uri="{FF2B5EF4-FFF2-40B4-BE49-F238E27FC236}">
                  <a16:creationId xmlns:a16="http://schemas.microsoft.com/office/drawing/2014/main" id="{1DD9272A-5E79-5EF4-6C84-6129869B1B2D}"/>
                </a:ext>
              </a:extLst>
            </xdr:cNvPr>
            <xdr:cNvGraphicFramePr/>
          </xdr:nvGraphicFramePr>
          <xdr:xfrm>
            <a:off x="0" y="0"/>
            <a:ext cx="0" cy="0"/>
          </xdr:xfrm>
          <a:graphic>
            <a:graphicData uri="http://schemas.microsoft.com/office/drawing/2010/slicer">
              <sle:slicer xmlns:sle="http://schemas.microsoft.com/office/drawing/2010/slicer" name="CompanyType"/>
            </a:graphicData>
          </a:graphic>
        </xdr:graphicFrame>
      </mc:Choice>
      <mc:Fallback>
        <xdr:sp macro="" textlink="">
          <xdr:nvSpPr>
            <xdr:cNvPr id="0" name=""/>
            <xdr:cNvSpPr>
              <a:spLocks noTextEdit="1"/>
            </xdr:cNvSpPr>
          </xdr:nvSpPr>
          <xdr:spPr>
            <a:xfrm>
              <a:off x="5181600" y="1996441"/>
              <a:ext cx="18288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426720</xdr:colOff>
      <xdr:row>0</xdr:row>
      <xdr:rowOff>53341</xdr:rowOff>
    </xdr:from>
    <xdr:to>
      <xdr:col>14</xdr:col>
      <xdr:colOff>426720</xdr:colOff>
      <xdr:row>11</xdr:row>
      <xdr:rowOff>60960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2EB0269D-3611-6DCA-C2B3-4CE2859ACE7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132320" y="53341"/>
              <a:ext cx="182880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refreshedDate="46059.596207523151" createdVersion="8" refreshedVersion="8" minRefreshableVersion="3" recordCount="25" xr:uid="{3F2EC9FD-4857-473C-A972-B68243F975B6}">
  <cacheSource type="worksheet">
    <worksheetSource ref="A1:O26" sheet="Raw_Data"/>
  </cacheSource>
  <cacheFields count="15">
    <cacheField name="StudentID" numFmtId="0">
      <sharedItems/>
    </cacheField>
    <cacheField name="StudentName" numFmtId="0">
      <sharedItems/>
    </cacheField>
    <cacheField name="Branch" numFmtId="0">
      <sharedItems count="4">
        <s v="CS"/>
        <s v="IT"/>
        <s v="ME"/>
        <s v="EE"/>
      </sharedItems>
    </cacheField>
    <cacheField name="CGPA" numFmtId="0">
      <sharedItems containsSemiMixedTypes="0" containsString="0" containsNumber="1" minValue="6.7" maxValue="9.4"/>
    </cacheField>
    <cacheField name="Internship" numFmtId="0">
      <sharedItems count="2">
        <s v="Yes"/>
        <s v="No"/>
      </sharedItems>
    </cacheField>
    <cacheField name="Skills" numFmtId="0">
      <sharedItems/>
    </cacheField>
    <cacheField name="Company" numFmtId="0">
      <sharedItems containsBlank="1" count="11">
        <s v="TCS"/>
        <s v="Infosys"/>
        <m/>
        <s v="Amazon"/>
        <s v="Wipro"/>
        <s v="Accenture"/>
        <s v="LTTS"/>
        <s v="Google"/>
        <s v="Siemens"/>
        <s v="Capgemini"/>
        <s v="Microsoft"/>
      </sharedItems>
    </cacheField>
    <cacheField name="CompanyType" numFmtId="0">
      <sharedItems count="3">
        <s v="Service"/>
        <s v="NA"/>
        <s v="Product"/>
      </sharedItems>
    </cacheField>
    <cacheField name="Package_LPA" numFmtId="0">
      <sharedItems containsSemiMixedTypes="0" containsString="0" containsNumber="1" minValue="0" maxValue="24"/>
    </cacheField>
    <cacheField name="PlacementStatus" numFmtId="0">
      <sharedItems count="2">
        <s v="Placed"/>
        <s v="Not Placed"/>
      </sharedItems>
    </cacheField>
    <cacheField name="InterviewScore" numFmtId="0">
      <sharedItems containsSemiMixedTypes="0" containsString="0" containsNumber="1" containsInteger="1" minValue="48" maxValue="95"/>
    </cacheField>
    <cacheField name="Month" numFmtId="0">
      <sharedItems count="6">
        <s v="Jan"/>
        <s v="Feb"/>
        <s v="Mar"/>
        <s v="Apr"/>
        <s v="May"/>
        <s v="Jun"/>
      </sharedItems>
    </cacheField>
    <cacheField name="Location" numFmtId="0">
      <sharedItems/>
    </cacheField>
    <cacheField name="Placement Flag" numFmtId="0">
      <sharedItems containsSemiMixedTypes="0" containsString="0" containsNumber="1" containsInteger="1" minValue="0" maxValue="1"/>
    </cacheField>
    <cacheField name="Internship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34690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S001"/>
    <s v="Aarav"/>
    <x v="0"/>
    <n v="8.5"/>
    <x v="0"/>
    <s v="Python;SQL"/>
    <x v="0"/>
    <x v="0"/>
    <n v="7"/>
    <x v="0"/>
    <n v="78"/>
    <x v="0"/>
    <s v="Pune"/>
    <n v="1"/>
    <n v="1"/>
  </r>
  <r>
    <s v="S002"/>
    <s v="Riya"/>
    <x v="1"/>
    <n v="7.9"/>
    <x v="1"/>
    <s v="Java;DSA"/>
    <x v="1"/>
    <x v="0"/>
    <n v="6"/>
    <x v="0"/>
    <n v="70"/>
    <x v="1"/>
    <s v="Bangalore"/>
    <n v="1"/>
    <n v="0"/>
  </r>
  <r>
    <s v="S003"/>
    <s v="Kunal"/>
    <x v="2"/>
    <n v="7.2"/>
    <x v="1"/>
    <s v="AutoCAD"/>
    <x v="2"/>
    <x v="1"/>
    <n v="0"/>
    <x v="1"/>
    <n v="55"/>
    <x v="2"/>
    <s v="NA"/>
    <n v="0"/>
    <n v="0"/>
  </r>
  <r>
    <s v="S004"/>
    <s v="Neha"/>
    <x v="0"/>
    <n v="9.1"/>
    <x v="0"/>
    <s v="Python;ML"/>
    <x v="3"/>
    <x v="2"/>
    <n v="18"/>
    <x v="0"/>
    <n v="92"/>
    <x v="0"/>
    <s v="Hyderabad"/>
    <n v="1"/>
    <n v="1"/>
  </r>
  <r>
    <s v="S005"/>
    <s v="Rohan"/>
    <x v="3"/>
    <n v="6.8"/>
    <x v="1"/>
    <s v="Core EE"/>
    <x v="2"/>
    <x v="1"/>
    <n v="0"/>
    <x v="1"/>
    <n v="48"/>
    <x v="3"/>
    <s v="NA"/>
    <n v="0"/>
    <n v="0"/>
  </r>
  <r>
    <s v="S006"/>
    <s v="Simran"/>
    <x v="0"/>
    <n v="8"/>
    <x v="0"/>
    <s v="Web;React"/>
    <x v="4"/>
    <x v="0"/>
    <n v="6.5"/>
    <x v="0"/>
    <n v="74"/>
    <x v="2"/>
    <s v="Pune"/>
    <n v="1"/>
    <n v="1"/>
  </r>
  <r>
    <s v="S007"/>
    <s v="Aditya"/>
    <x v="1"/>
    <n v="8.3000000000000007"/>
    <x v="0"/>
    <s v="Python;SQL"/>
    <x v="5"/>
    <x v="0"/>
    <n v="7.2"/>
    <x v="0"/>
    <n v="80"/>
    <x v="1"/>
    <s v="Mumbai"/>
    <n v="1"/>
    <n v="1"/>
  </r>
  <r>
    <s v="S008"/>
    <s v="Pooja"/>
    <x v="0"/>
    <n v="7.5"/>
    <x v="1"/>
    <s v="Java;DSA"/>
    <x v="2"/>
    <x v="1"/>
    <n v="0"/>
    <x v="1"/>
    <n v="60"/>
    <x v="4"/>
    <s v="NA"/>
    <n v="0"/>
    <n v="0"/>
  </r>
  <r>
    <s v="S009"/>
    <s v="Amit"/>
    <x v="2"/>
    <n v="8.1999999999999993"/>
    <x v="0"/>
    <s v="Design"/>
    <x v="6"/>
    <x v="0"/>
    <n v="5.5"/>
    <x v="0"/>
    <n v="73"/>
    <x v="3"/>
    <s v="Chennai"/>
    <n v="1"/>
    <n v="1"/>
  </r>
  <r>
    <s v="S010"/>
    <s v="Kavya"/>
    <x v="0"/>
    <n v="9.4"/>
    <x v="0"/>
    <s v="ML;Python"/>
    <x v="7"/>
    <x v="2"/>
    <n v="24"/>
    <x v="0"/>
    <n v="95"/>
    <x v="0"/>
    <s v="Bangalore"/>
    <n v="1"/>
    <n v="1"/>
  </r>
  <r>
    <s v="S011"/>
    <s v="Raj"/>
    <x v="1"/>
    <n v="6.9"/>
    <x v="1"/>
    <s v="Testing"/>
    <x v="2"/>
    <x v="1"/>
    <n v="0"/>
    <x v="1"/>
    <n v="52"/>
    <x v="5"/>
    <s v="NA"/>
    <n v="0"/>
    <n v="0"/>
  </r>
  <r>
    <s v="S012"/>
    <s v="Sneha"/>
    <x v="0"/>
    <n v="8.6999999999999993"/>
    <x v="0"/>
    <s v="Python;Data"/>
    <x v="0"/>
    <x v="0"/>
    <n v="7"/>
    <x v="0"/>
    <n v="82"/>
    <x v="1"/>
    <s v="Pune"/>
    <n v="1"/>
    <n v="1"/>
  </r>
  <r>
    <s v="S013"/>
    <s v="Omkar"/>
    <x v="3"/>
    <n v="7.8"/>
    <x v="0"/>
    <s v="Core EE"/>
    <x v="8"/>
    <x v="2"/>
    <n v="9"/>
    <x v="0"/>
    <n v="76"/>
    <x v="2"/>
    <s v="Mumbai"/>
    <n v="1"/>
    <n v="1"/>
  </r>
  <r>
    <s v="S014"/>
    <s v="Meera"/>
    <x v="1"/>
    <n v="8.1"/>
    <x v="1"/>
    <s v="Java;SQL"/>
    <x v="9"/>
    <x v="0"/>
    <n v="6.2"/>
    <x v="0"/>
    <n v="71"/>
    <x v="3"/>
    <s v="Pune"/>
    <n v="1"/>
    <n v="0"/>
  </r>
  <r>
    <s v="S015"/>
    <s v="Varun"/>
    <x v="0"/>
    <n v="7.3"/>
    <x v="0"/>
    <s v="Web;Node"/>
    <x v="2"/>
    <x v="1"/>
    <n v="0"/>
    <x v="1"/>
    <n v="63"/>
    <x v="4"/>
    <s v="NA"/>
    <n v="0"/>
    <n v="1"/>
  </r>
  <r>
    <s v="S016"/>
    <s v="Anjali"/>
    <x v="0"/>
    <n v="8.9"/>
    <x v="0"/>
    <s v="ML;Python"/>
    <x v="10"/>
    <x v="2"/>
    <n v="20"/>
    <x v="0"/>
    <n v="90"/>
    <x v="0"/>
    <s v="Hyderabad"/>
    <n v="1"/>
    <n v="1"/>
  </r>
  <r>
    <s v="S017"/>
    <s v="Tejas"/>
    <x v="2"/>
    <n v="7"/>
    <x v="1"/>
    <s v="Core ME"/>
    <x v="2"/>
    <x v="1"/>
    <n v="0"/>
    <x v="1"/>
    <n v="50"/>
    <x v="5"/>
    <s v="NA"/>
    <n v="0"/>
    <n v="0"/>
  </r>
  <r>
    <s v="S018"/>
    <s v="Divya"/>
    <x v="1"/>
    <n v="8.4"/>
    <x v="0"/>
    <s v="Python;SQL"/>
    <x v="1"/>
    <x v="0"/>
    <n v="6.8"/>
    <x v="0"/>
    <n v="79"/>
    <x v="1"/>
    <s v="Bangalore"/>
    <n v="1"/>
    <n v="1"/>
  </r>
  <r>
    <s v="S019"/>
    <s v="Nikhil"/>
    <x v="0"/>
    <n v="8.6"/>
    <x v="0"/>
    <s v="Data;SQL"/>
    <x v="3"/>
    <x v="2"/>
    <n v="17"/>
    <x v="0"/>
    <n v="88"/>
    <x v="2"/>
    <s v="Hyderabad"/>
    <n v="1"/>
    <n v="1"/>
  </r>
  <r>
    <s v="S020"/>
    <s v="Prerna"/>
    <x v="3"/>
    <n v="7.1"/>
    <x v="1"/>
    <s v="Core EE"/>
    <x v="2"/>
    <x v="1"/>
    <n v="0"/>
    <x v="1"/>
    <n v="57"/>
    <x v="4"/>
    <s v="NA"/>
    <n v="0"/>
    <n v="0"/>
  </r>
  <r>
    <s v="S021"/>
    <s v="Yash"/>
    <x v="0"/>
    <n v="8.1999999999999993"/>
    <x v="0"/>
    <s v="React;JS"/>
    <x v="4"/>
    <x v="0"/>
    <n v="6.5"/>
    <x v="0"/>
    <n v="75"/>
    <x v="3"/>
    <s v="Pune"/>
    <n v="1"/>
    <n v="1"/>
  </r>
  <r>
    <s v="S022"/>
    <s v="Tanvi"/>
    <x v="1"/>
    <n v="9"/>
    <x v="0"/>
    <s v="ML;Python"/>
    <x v="7"/>
    <x v="2"/>
    <n v="23"/>
    <x v="0"/>
    <n v="93"/>
    <x v="0"/>
    <s v="Bangalore"/>
    <n v="1"/>
    <n v="1"/>
  </r>
  <r>
    <s v="S023"/>
    <s v="Sagar"/>
    <x v="2"/>
    <n v="7.6"/>
    <x v="0"/>
    <s v="Design"/>
    <x v="6"/>
    <x v="0"/>
    <n v="5.8"/>
    <x v="0"/>
    <n v="69"/>
    <x v="2"/>
    <s v="Chennai"/>
    <n v="1"/>
    <n v="1"/>
  </r>
  <r>
    <s v="S024"/>
    <s v="Isha"/>
    <x v="0"/>
    <n v="8.8000000000000007"/>
    <x v="0"/>
    <s v="Data;Python"/>
    <x v="10"/>
    <x v="2"/>
    <n v="19"/>
    <x v="0"/>
    <n v="91"/>
    <x v="1"/>
    <s v="Hyderabad"/>
    <n v="1"/>
    <n v="1"/>
  </r>
  <r>
    <s v="S025"/>
    <s v="Harsh"/>
    <x v="3"/>
    <n v="6.7"/>
    <x v="1"/>
    <s v="Core EE"/>
    <x v="2"/>
    <x v="1"/>
    <n v="0"/>
    <x v="1"/>
    <n v="49"/>
    <x v="5"/>
    <s v="NA"/>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431FD9-3EA7-43C8-A191-C7B722E09E9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15">
    <pivotField dataField="1" showAll="0"/>
    <pivotField showAll="0"/>
    <pivotField axis="axisRow"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items count="7">
        <item x="0"/>
        <item x="1"/>
        <item x="2"/>
        <item x="3"/>
        <item x="4"/>
        <item x="5"/>
        <item t="default"/>
      </items>
    </pivotField>
    <pivotField showAll="0"/>
    <pivotField dataField="1" showAll="0"/>
    <pivotField showAll="0"/>
  </pivotFields>
  <rowFields count="1">
    <field x="2"/>
  </rowFields>
  <rowItems count="5">
    <i>
      <x/>
    </i>
    <i>
      <x v="1"/>
    </i>
    <i>
      <x v="2"/>
    </i>
    <i>
      <x v="3"/>
    </i>
    <i t="grand">
      <x/>
    </i>
  </rowItems>
  <colFields count="1">
    <field x="-2"/>
  </colFields>
  <colItems count="2">
    <i>
      <x/>
    </i>
    <i i="1">
      <x v="1"/>
    </i>
  </colItems>
  <dataFields count="2">
    <dataField name="Sum of Placement Flag" fld="13" baseField="0" baseItem="0"/>
    <dataField name="Count of Student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8D7325-0D71-48B5-AA31-E34E3556287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1:L16"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7">
        <item h="1" x="0"/>
        <item h="1" x="1"/>
        <item x="2"/>
        <item x="3"/>
        <item x="4"/>
        <item x="5"/>
        <item t="default"/>
      </items>
    </pivotField>
    <pivotField showAll="0"/>
    <pivotField dataField="1" showAll="0"/>
    <pivotField showAll="0"/>
  </pivotFields>
  <rowFields count="1">
    <field x="11"/>
  </rowFields>
  <rowItems count="5">
    <i>
      <x v="2"/>
    </i>
    <i>
      <x v="3"/>
    </i>
    <i>
      <x v="4"/>
    </i>
    <i>
      <x v="5"/>
    </i>
    <i t="grand">
      <x/>
    </i>
  </rowItems>
  <colItems count="1">
    <i/>
  </colItems>
  <dataFields count="1">
    <dataField name="Sum of Placement Flag" fld="13"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C8E932-377D-4798-9B3D-74EA534E4A0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2:O6" firstHeaderRow="1" firstDataRow="2" firstDataCol="1"/>
  <pivotFields count="15">
    <pivotField dataField="1" showAll="0"/>
    <pivotField showAll="0"/>
    <pivotField showAll="0"/>
    <pivotField showAll="0"/>
    <pivotField axis="axisRow" showAll="0">
      <items count="3">
        <item x="1"/>
        <item x="0"/>
        <item t="default"/>
      </items>
    </pivotField>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s>
  <rowFields count="1">
    <field x="4"/>
  </rowFields>
  <rowItems count="3">
    <i>
      <x/>
    </i>
    <i>
      <x v="1"/>
    </i>
    <i t="grand">
      <x/>
    </i>
  </rowItems>
  <colFields count="1">
    <field x="9"/>
  </colFields>
  <colItems count="3">
    <i>
      <x/>
    </i>
    <i>
      <x v="1"/>
    </i>
    <i t="grand">
      <x/>
    </i>
  </colItems>
  <dataFields count="1">
    <dataField name="Count of StudentID" fld="0" subtotal="count" baseField="0" baseItem="0"/>
  </dataFields>
  <chartFormats count="2">
    <chartFormat chart="2" format="1" series="1">
      <pivotArea type="data" outline="0" fieldPosition="0">
        <references count="2">
          <reference field="4294967294" count="1" selected="0">
            <x v="0"/>
          </reference>
          <reference field="9" count="1" selected="0">
            <x v="0"/>
          </reference>
        </references>
      </pivotArea>
    </chartFormat>
    <chartFormat chart="2" format="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FDB31D-B123-4997-B32E-19C17766472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14" firstHeaderRow="1" firstDataRow="1" firstDataCol="1" rowPageCount="1" colPageCount="1"/>
  <pivotFields count="15">
    <pivotField showAll="0"/>
    <pivotField showAll="0"/>
    <pivotField showAll="0"/>
    <pivotField showAll="0"/>
    <pivotField showAll="0"/>
    <pivotField showAll="0"/>
    <pivotField axis="axisRow" showAll="0">
      <items count="12">
        <item h="1" x="5"/>
        <item h="1" x="3"/>
        <item x="9"/>
        <item x="7"/>
        <item x="1"/>
        <item x="6"/>
        <item x="10"/>
        <item x="8"/>
        <item x="0"/>
        <item x="4"/>
        <item x="2"/>
        <item t="default"/>
      </items>
    </pivotField>
    <pivotField showAll="0"/>
    <pivotField dataField="1" showAll="0"/>
    <pivotField axis="axisPage" showAll="0">
      <items count="3">
        <item x="1"/>
        <item x="0"/>
        <item t="default"/>
      </items>
    </pivotField>
    <pivotField showAll="0"/>
    <pivotField showAll="0"/>
    <pivotField showAll="0"/>
    <pivotField showAll="0"/>
    <pivotField showAll="0"/>
  </pivotFields>
  <rowFields count="1">
    <field x="6"/>
  </rowFields>
  <rowItems count="10">
    <i>
      <x v="2"/>
    </i>
    <i>
      <x v="3"/>
    </i>
    <i>
      <x v="4"/>
    </i>
    <i>
      <x v="5"/>
    </i>
    <i>
      <x v="6"/>
    </i>
    <i>
      <x v="7"/>
    </i>
    <i>
      <x v="8"/>
    </i>
    <i>
      <x v="9"/>
    </i>
    <i>
      <x v="10"/>
    </i>
    <i t="grand">
      <x/>
    </i>
  </rowItems>
  <colItems count="1">
    <i/>
  </colItems>
  <pageFields count="1">
    <pageField fld="9" hier="-1"/>
  </pageFields>
  <dataFields count="1">
    <dataField name="Sum of Package_LPA" fld="8" baseField="0" baseItem="0"/>
  </dataField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3"/>
          </reference>
        </references>
      </pivotArea>
    </chartFormat>
    <chartFormat chart="2" format="4">
      <pivotArea type="data" outline="0" fieldPosition="0">
        <references count="2">
          <reference field="4294967294" count="1" selected="0">
            <x v="0"/>
          </reference>
          <reference field="6" count="1" selected="0">
            <x v="4"/>
          </reference>
        </references>
      </pivotArea>
    </chartFormat>
    <chartFormat chart="2" format="5">
      <pivotArea type="data" outline="0" fieldPosition="0">
        <references count="2">
          <reference field="4294967294" count="1" selected="0">
            <x v="0"/>
          </reference>
          <reference field="6" count="1" selected="0">
            <x v="5"/>
          </reference>
        </references>
      </pivotArea>
    </chartFormat>
    <chartFormat chart="2" format="6">
      <pivotArea type="data" outline="0" fieldPosition="0">
        <references count="2">
          <reference field="4294967294" count="1" selected="0">
            <x v="0"/>
          </reference>
          <reference field="6" count="1" selected="0">
            <x v="6"/>
          </reference>
        </references>
      </pivotArea>
    </chartFormat>
    <chartFormat chart="2" format="7">
      <pivotArea type="data" outline="0" fieldPosition="0">
        <references count="2">
          <reference field="4294967294" count="1" selected="0">
            <x v="0"/>
          </reference>
          <reference field="6" count="1" selected="0">
            <x v="7"/>
          </reference>
        </references>
      </pivotArea>
    </chartFormat>
    <chartFormat chart="2" format="8">
      <pivotArea type="data" outline="0" fieldPosition="0">
        <references count="2">
          <reference field="4294967294" count="1" selected="0">
            <x v="0"/>
          </reference>
          <reference field="6" count="1" selected="0">
            <x v="8"/>
          </reference>
        </references>
      </pivotArea>
    </chartFormat>
    <chartFormat chart="2" format="9">
      <pivotArea type="data" outline="0" fieldPosition="0">
        <references count="2">
          <reference field="4294967294" count="1" selected="0">
            <x v="0"/>
          </reference>
          <reference field="6" count="1" selected="0">
            <x v="9"/>
          </reference>
        </references>
      </pivotArea>
    </chartFormat>
    <chartFormat chart="2" format="10">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892EC7D8-E012-45AB-841D-CE248B987BC6}" sourceName="Branch">
  <pivotTables>
    <pivotTable tabId="3" name="PivotTable1"/>
  </pivotTables>
  <data>
    <tabular pivotCacheId="934690438">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Type" xr10:uid="{FD9C87A1-DF47-4CD5-A01D-945BB4D39556}" sourceName="CompanyType">
  <pivotTables>
    <pivotTable tabId="3" name="PivotTable1"/>
  </pivotTables>
  <data>
    <tabular pivotCacheId="93469043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7532DC7-CAF2-45ED-B076-4CEB5315D9AA}" sourceName="Month">
  <pivotTables>
    <pivotTable tabId="3" name="PivotTable1"/>
  </pivotTables>
  <data>
    <tabular pivotCacheId="934690438">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3221FB9-54DB-4C74-8A9A-E1A584084D75}" cache="Slicer_Branch" caption="Branch" rowHeight="234950"/>
  <slicer name="CompanyType" xr10:uid="{3FFEFF41-7504-413A-B20F-E53D5E495147}" cache="Slicer_CompanyType" caption="CompanyType" rowHeight="234950"/>
  <slicer name="Month" xr10:uid="{F5B35E05-21DE-462C-B3BD-A330827FD4CE}"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B9CE-2922-4224-9503-E628095CAF67}">
  <dimension ref="A1:O16"/>
  <sheetViews>
    <sheetView zoomScale="102" workbookViewId="0">
      <selection activeCell="K11" sqref="K11"/>
    </sheetView>
  </sheetViews>
  <sheetFormatPr defaultRowHeight="14.4" x14ac:dyDescent="0.3"/>
  <cols>
    <col min="1" max="1" width="12.88671875" bestFit="1" customWidth="1"/>
    <col min="2" max="2" width="20.5546875" bestFit="1" customWidth="1"/>
    <col min="3" max="3" width="17.5546875" bestFit="1" customWidth="1"/>
    <col min="7" max="7" width="14.6640625" bestFit="1" customWidth="1"/>
    <col min="8" max="9" width="18.88671875" bestFit="1" customWidth="1"/>
    <col min="11" max="11" width="12.88671875" bestFit="1" customWidth="1"/>
    <col min="12" max="12" width="17.5546875" bestFit="1" customWidth="1"/>
    <col min="13" max="13" width="15.5546875" bestFit="1" customWidth="1"/>
    <col min="14" max="14" width="6.6640625" bestFit="1" customWidth="1"/>
    <col min="15" max="15" width="11" bestFit="1" customWidth="1"/>
  </cols>
  <sheetData>
    <row r="1" spans="1:15" ht="21" x14ac:dyDescent="0.4">
      <c r="A1" s="3" t="s">
        <v>117</v>
      </c>
      <c r="B1" s="3"/>
      <c r="G1" s="3" t="s">
        <v>118</v>
      </c>
      <c r="K1" s="3" t="s">
        <v>122</v>
      </c>
    </row>
    <row r="2" spans="1:15" x14ac:dyDescent="0.3">
      <c r="G2" s="1" t="s">
        <v>9</v>
      </c>
      <c r="H2" t="s">
        <v>121</v>
      </c>
      <c r="L2" s="1" t="s">
        <v>116</v>
      </c>
      <c r="M2" s="1" t="s">
        <v>123</v>
      </c>
    </row>
    <row r="3" spans="1:15" x14ac:dyDescent="0.3">
      <c r="A3" s="1" t="s">
        <v>113</v>
      </c>
      <c r="B3" t="s">
        <v>115</v>
      </c>
      <c r="C3" t="s">
        <v>116</v>
      </c>
      <c r="L3" s="1" t="s">
        <v>113</v>
      </c>
      <c r="M3" t="s">
        <v>36</v>
      </c>
      <c r="N3" t="s">
        <v>20</v>
      </c>
      <c r="O3" t="s">
        <v>114</v>
      </c>
    </row>
    <row r="4" spans="1:15" x14ac:dyDescent="0.3">
      <c r="A4" s="2" t="s">
        <v>15</v>
      </c>
      <c r="B4" s="10">
        <v>9</v>
      </c>
      <c r="C4" s="10">
        <v>11</v>
      </c>
      <c r="G4" s="1" t="s">
        <v>113</v>
      </c>
      <c r="H4" t="s">
        <v>120</v>
      </c>
      <c r="L4" s="2" t="s">
        <v>26</v>
      </c>
      <c r="M4">
        <v>7</v>
      </c>
      <c r="N4">
        <v>2</v>
      </c>
      <c r="O4">
        <v>9</v>
      </c>
    </row>
    <row r="5" spans="1:15" x14ac:dyDescent="0.3">
      <c r="A5" s="2" t="s">
        <v>46</v>
      </c>
      <c r="B5" s="10">
        <v>1</v>
      </c>
      <c r="C5" s="10">
        <v>4</v>
      </c>
      <c r="G5" s="2" t="s">
        <v>82</v>
      </c>
      <c r="H5">
        <v>6.2</v>
      </c>
      <c r="L5" s="2" t="s">
        <v>16</v>
      </c>
      <c r="M5">
        <v>1</v>
      </c>
      <c r="N5">
        <v>15</v>
      </c>
      <c r="O5">
        <v>16</v>
      </c>
    </row>
    <row r="6" spans="1:15" x14ac:dyDescent="0.3">
      <c r="A6" s="2" t="s">
        <v>25</v>
      </c>
      <c r="B6" s="10">
        <v>5</v>
      </c>
      <c r="C6" s="10">
        <v>6</v>
      </c>
      <c r="G6" s="2" t="s">
        <v>68</v>
      </c>
      <c r="H6">
        <v>47</v>
      </c>
      <c r="L6" s="2" t="s">
        <v>114</v>
      </c>
      <c r="M6">
        <v>8</v>
      </c>
      <c r="N6">
        <v>17</v>
      </c>
      <c r="O6">
        <v>25</v>
      </c>
    </row>
    <row r="7" spans="1:15" x14ac:dyDescent="0.3">
      <c r="A7" s="2" t="s">
        <v>33</v>
      </c>
      <c r="B7" s="10">
        <v>2</v>
      </c>
      <c r="C7" s="10">
        <v>4</v>
      </c>
      <c r="G7" s="2" t="s">
        <v>28</v>
      </c>
      <c r="H7">
        <v>12.8</v>
      </c>
    </row>
    <row r="8" spans="1:15" x14ac:dyDescent="0.3">
      <c r="A8" s="2" t="s">
        <v>114</v>
      </c>
      <c r="B8" s="10">
        <v>17</v>
      </c>
      <c r="C8" s="10">
        <v>25</v>
      </c>
      <c r="G8" s="2" t="s">
        <v>63</v>
      </c>
      <c r="H8">
        <v>11.3</v>
      </c>
    </row>
    <row r="9" spans="1:15" ht="21" x14ac:dyDescent="0.4">
      <c r="G9" s="2" t="s">
        <v>88</v>
      </c>
      <c r="H9">
        <v>39</v>
      </c>
      <c r="L9" s="3"/>
    </row>
    <row r="10" spans="1:15" ht="21" x14ac:dyDescent="0.4">
      <c r="G10" s="2" t="s">
        <v>78</v>
      </c>
      <c r="H10">
        <v>9</v>
      </c>
      <c r="K10" s="3" t="s">
        <v>124</v>
      </c>
    </row>
    <row r="11" spans="1:15" x14ac:dyDescent="0.3">
      <c r="G11" s="2" t="s">
        <v>18</v>
      </c>
      <c r="H11">
        <v>14</v>
      </c>
      <c r="K11" s="1" t="s">
        <v>113</v>
      </c>
      <c r="L11" t="s">
        <v>115</v>
      </c>
    </row>
    <row r="12" spans="1:15" x14ac:dyDescent="0.3">
      <c r="G12" s="2" t="s">
        <v>52</v>
      </c>
      <c r="H12">
        <v>13</v>
      </c>
      <c r="K12" s="2" t="s">
        <v>37</v>
      </c>
      <c r="L12">
        <v>4</v>
      </c>
    </row>
    <row r="13" spans="1:15" ht="21" x14ac:dyDescent="0.4">
      <c r="B13" s="3"/>
      <c r="G13" s="2" t="s">
        <v>119</v>
      </c>
      <c r="H13">
        <v>0</v>
      </c>
      <c r="K13" s="2" t="s">
        <v>48</v>
      </c>
      <c r="L13">
        <v>3</v>
      </c>
    </row>
    <row r="14" spans="1:15" x14ac:dyDescent="0.3">
      <c r="G14" s="2" t="s">
        <v>114</v>
      </c>
      <c r="H14">
        <v>152.30000000000001</v>
      </c>
      <c r="K14" s="2" t="s">
        <v>59</v>
      </c>
      <c r="L14">
        <v>0</v>
      </c>
    </row>
    <row r="15" spans="1:15" x14ac:dyDescent="0.3">
      <c r="K15" s="2" t="s">
        <v>72</v>
      </c>
      <c r="L15">
        <v>0</v>
      </c>
    </row>
    <row r="16" spans="1:15" ht="21" x14ac:dyDescent="0.4">
      <c r="B16" s="3"/>
      <c r="K16" s="2" t="s">
        <v>114</v>
      </c>
      <c r="L16">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workbookViewId="0">
      <selection activeCell="N25" sqref="N25"/>
    </sheetView>
  </sheetViews>
  <sheetFormatPr defaultRowHeight="14.4" x14ac:dyDescent="0.3"/>
  <cols>
    <col min="6" max="6" width="19.33203125" customWidth="1"/>
    <col min="7" max="7" width="14.6640625" customWidth="1"/>
    <col min="8" max="8" width="14.5546875" customWidth="1"/>
    <col min="9" max="9" width="11.6640625" bestFit="1" customWidth="1"/>
    <col min="10" max="10" width="14.6640625" bestFit="1" customWidth="1"/>
    <col min="11" max="11" width="13.21875" customWidth="1"/>
    <col min="12" max="12" width="15.21875" customWidth="1"/>
    <col min="13" max="13" width="14.88671875" customWidth="1"/>
    <col min="14" max="14" width="17.21875" customWidth="1"/>
    <col min="15" max="15" width="17.33203125" customWidth="1"/>
  </cols>
  <sheetData>
    <row r="1" spans="1:15" x14ac:dyDescent="0.3">
      <c r="A1" t="s">
        <v>0</v>
      </c>
      <c r="B1" t="s">
        <v>1</v>
      </c>
      <c r="C1" t="s">
        <v>2</v>
      </c>
      <c r="D1" t="s">
        <v>3</v>
      </c>
      <c r="E1" t="s">
        <v>4</v>
      </c>
      <c r="F1" t="s">
        <v>5</v>
      </c>
      <c r="G1" t="s">
        <v>6</v>
      </c>
      <c r="H1" t="s">
        <v>7</v>
      </c>
      <c r="I1" t="s">
        <v>8</v>
      </c>
      <c r="J1" t="s">
        <v>9</v>
      </c>
      <c r="K1" t="s">
        <v>10</v>
      </c>
      <c r="L1" t="s">
        <v>11</v>
      </c>
      <c r="M1" t="s">
        <v>12</v>
      </c>
      <c r="N1" t="s">
        <v>111</v>
      </c>
      <c r="O1" t="s">
        <v>112</v>
      </c>
    </row>
    <row r="2" spans="1:15" x14ac:dyDescent="0.3">
      <c r="A2" t="s">
        <v>13</v>
      </c>
      <c r="B2" t="s">
        <v>14</v>
      </c>
      <c r="C2" t="s">
        <v>15</v>
      </c>
      <c r="D2">
        <v>8.5</v>
      </c>
      <c r="E2" t="s">
        <v>16</v>
      </c>
      <c r="F2" t="s">
        <v>17</v>
      </c>
      <c r="G2" t="s">
        <v>18</v>
      </c>
      <c r="H2" t="s">
        <v>19</v>
      </c>
      <c r="I2">
        <v>7</v>
      </c>
      <c r="J2" t="s">
        <v>20</v>
      </c>
      <c r="K2">
        <v>78</v>
      </c>
      <c r="L2" t="s">
        <v>21</v>
      </c>
      <c r="M2" t="s">
        <v>22</v>
      </c>
      <c r="N2">
        <f>IF(J2="Placed",1,0)</f>
        <v>1</v>
      </c>
      <c r="O2">
        <f>IF(E2="Yes",1,0)</f>
        <v>1</v>
      </c>
    </row>
    <row r="3" spans="1:15" x14ac:dyDescent="0.3">
      <c r="A3" t="s">
        <v>23</v>
      </c>
      <c r="B3" t="s">
        <v>24</v>
      </c>
      <c r="C3" t="s">
        <v>25</v>
      </c>
      <c r="D3">
        <v>7.9</v>
      </c>
      <c r="E3" t="s">
        <v>26</v>
      </c>
      <c r="F3" t="s">
        <v>27</v>
      </c>
      <c r="G3" t="s">
        <v>28</v>
      </c>
      <c r="H3" t="s">
        <v>19</v>
      </c>
      <c r="I3">
        <v>6</v>
      </c>
      <c r="J3" t="s">
        <v>20</v>
      </c>
      <c r="K3">
        <v>70</v>
      </c>
      <c r="L3" t="s">
        <v>29</v>
      </c>
      <c r="M3" t="s">
        <v>30</v>
      </c>
      <c r="N3">
        <f>IF(J3="Placed",1,0)</f>
        <v>1</v>
      </c>
      <c r="O3">
        <f t="shared" ref="O3:O26" si="0">IF(E3="Yes",1,0)</f>
        <v>0</v>
      </c>
    </row>
    <row r="4" spans="1:15" x14ac:dyDescent="0.3">
      <c r="A4" t="s">
        <v>31</v>
      </c>
      <c r="B4" t="s">
        <v>32</v>
      </c>
      <c r="C4" t="s">
        <v>33</v>
      </c>
      <c r="D4">
        <v>7.2</v>
      </c>
      <c r="E4" t="s">
        <v>26</v>
      </c>
      <c r="F4" t="s">
        <v>34</v>
      </c>
      <c r="H4" t="s">
        <v>35</v>
      </c>
      <c r="I4">
        <v>0</v>
      </c>
      <c r="J4" t="s">
        <v>36</v>
      </c>
      <c r="K4">
        <v>55</v>
      </c>
      <c r="L4" t="s">
        <v>37</v>
      </c>
      <c r="M4" t="s">
        <v>35</v>
      </c>
      <c r="N4">
        <f t="shared" ref="N4:N25" si="1">IF(J4="Placed",1,0)</f>
        <v>0</v>
      </c>
      <c r="O4">
        <f t="shared" si="0"/>
        <v>0</v>
      </c>
    </row>
    <row r="5" spans="1:15" x14ac:dyDescent="0.3">
      <c r="A5" t="s">
        <v>38</v>
      </c>
      <c r="B5" t="s">
        <v>39</v>
      </c>
      <c r="C5" t="s">
        <v>15</v>
      </c>
      <c r="D5">
        <v>9.1</v>
      </c>
      <c r="E5" t="s">
        <v>16</v>
      </c>
      <c r="F5" t="s">
        <v>40</v>
      </c>
      <c r="G5" t="s">
        <v>41</v>
      </c>
      <c r="H5" t="s">
        <v>42</v>
      </c>
      <c r="I5">
        <v>18</v>
      </c>
      <c r="J5" t="s">
        <v>20</v>
      </c>
      <c r="K5">
        <v>92</v>
      </c>
      <c r="L5" t="s">
        <v>21</v>
      </c>
      <c r="M5" t="s">
        <v>43</v>
      </c>
      <c r="N5">
        <f t="shared" si="1"/>
        <v>1</v>
      </c>
      <c r="O5">
        <f t="shared" si="0"/>
        <v>1</v>
      </c>
    </row>
    <row r="6" spans="1:15" x14ac:dyDescent="0.3">
      <c r="A6" t="s">
        <v>44</v>
      </c>
      <c r="B6" t="s">
        <v>45</v>
      </c>
      <c r="C6" t="s">
        <v>46</v>
      </c>
      <c r="D6">
        <v>6.8</v>
      </c>
      <c r="E6" t="s">
        <v>26</v>
      </c>
      <c r="F6" t="s">
        <v>47</v>
      </c>
      <c r="H6" t="s">
        <v>35</v>
      </c>
      <c r="I6">
        <v>0</v>
      </c>
      <c r="J6" t="s">
        <v>36</v>
      </c>
      <c r="K6">
        <v>48</v>
      </c>
      <c r="L6" t="s">
        <v>48</v>
      </c>
      <c r="M6" t="s">
        <v>35</v>
      </c>
      <c r="N6">
        <f t="shared" si="1"/>
        <v>0</v>
      </c>
      <c r="O6">
        <f t="shared" si="0"/>
        <v>0</v>
      </c>
    </row>
    <row r="7" spans="1:15" x14ac:dyDescent="0.3">
      <c r="A7" t="s">
        <v>49</v>
      </c>
      <c r="B7" t="s">
        <v>50</v>
      </c>
      <c r="C7" t="s">
        <v>15</v>
      </c>
      <c r="D7">
        <v>8</v>
      </c>
      <c r="E7" t="s">
        <v>16</v>
      </c>
      <c r="F7" t="s">
        <v>51</v>
      </c>
      <c r="G7" t="s">
        <v>52</v>
      </c>
      <c r="H7" t="s">
        <v>19</v>
      </c>
      <c r="I7">
        <v>6.5</v>
      </c>
      <c r="J7" t="s">
        <v>20</v>
      </c>
      <c r="K7">
        <v>74</v>
      </c>
      <c r="L7" t="s">
        <v>37</v>
      </c>
      <c r="M7" t="s">
        <v>22</v>
      </c>
      <c r="N7">
        <f t="shared" si="1"/>
        <v>1</v>
      </c>
      <c r="O7">
        <f t="shared" si="0"/>
        <v>1</v>
      </c>
    </row>
    <row r="8" spans="1:15" x14ac:dyDescent="0.3">
      <c r="A8" t="s">
        <v>53</v>
      </c>
      <c r="B8" t="s">
        <v>54</v>
      </c>
      <c r="C8" t="s">
        <v>25</v>
      </c>
      <c r="D8">
        <v>8.3000000000000007</v>
      </c>
      <c r="E8" t="s">
        <v>16</v>
      </c>
      <c r="F8" t="s">
        <v>17</v>
      </c>
      <c r="G8" t="s">
        <v>55</v>
      </c>
      <c r="H8" t="s">
        <v>19</v>
      </c>
      <c r="I8">
        <v>7.2</v>
      </c>
      <c r="J8" t="s">
        <v>20</v>
      </c>
      <c r="K8">
        <v>80</v>
      </c>
      <c r="L8" t="s">
        <v>29</v>
      </c>
      <c r="M8" t="s">
        <v>56</v>
      </c>
      <c r="N8">
        <f t="shared" si="1"/>
        <v>1</v>
      </c>
      <c r="O8">
        <f t="shared" si="0"/>
        <v>1</v>
      </c>
    </row>
    <row r="9" spans="1:15" x14ac:dyDescent="0.3">
      <c r="A9" t="s">
        <v>57</v>
      </c>
      <c r="B9" t="s">
        <v>58</v>
      </c>
      <c r="C9" t="s">
        <v>15</v>
      </c>
      <c r="D9">
        <v>7.5</v>
      </c>
      <c r="E9" t="s">
        <v>26</v>
      </c>
      <c r="F9" t="s">
        <v>27</v>
      </c>
      <c r="H9" t="s">
        <v>35</v>
      </c>
      <c r="I9">
        <v>0</v>
      </c>
      <c r="J9" t="s">
        <v>36</v>
      </c>
      <c r="K9">
        <v>60</v>
      </c>
      <c r="L9" t="s">
        <v>59</v>
      </c>
      <c r="M9" t="s">
        <v>35</v>
      </c>
      <c r="N9">
        <f t="shared" si="1"/>
        <v>0</v>
      </c>
      <c r="O9">
        <f t="shared" si="0"/>
        <v>0</v>
      </c>
    </row>
    <row r="10" spans="1:15" x14ac:dyDescent="0.3">
      <c r="A10" t="s">
        <v>60</v>
      </c>
      <c r="B10" t="s">
        <v>61</v>
      </c>
      <c r="C10" t="s">
        <v>33</v>
      </c>
      <c r="D10">
        <v>8.1999999999999993</v>
      </c>
      <c r="E10" t="s">
        <v>16</v>
      </c>
      <c r="F10" t="s">
        <v>62</v>
      </c>
      <c r="G10" t="s">
        <v>63</v>
      </c>
      <c r="H10" t="s">
        <v>19</v>
      </c>
      <c r="I10">
        <v>5.5</v>
      </c>
      <c r="J10" t="s">
        <v>20</v>
      </c>
      <c r="K10">
        <v>73</v>
      </c>
      <c r="L10" t="s">
        <v>48</v>
      </c>
      <c r="M10" t="s">
        <v>64</v>
      </c>
      <c r="N10">
        <f t="shared" si="1"/>
        <v>1</v>
      </c>
      <c r="O10">
        <f t="shared" si="0"/>
        <v>1</v>
      </c>
    </row>
    <row r="11" spans="1:15" x14ac:dyDescent="0.3">
      <c r="A11" t="s">
        <v>65</v>
      </c>
      <c r="B11" t="s">
        <v>66</v>
      </c>
      <c r="C11" t="s">
        <v>15</v>
      </c>
      <c r="D11">
        <v>9.4</v>
      </c>
      <c r="E11" t="s">
        <v>16</v>
      </c>
      <c r="F11" t="s">
        <v>67</v>
      </c>
      <c r="G11" t="s">
        <v>68</v>
      </c>
      <c r="H11" t="s">
        <v>42</v>
      </c>
      <c r="I11">
        <v>24</v>
      </c>
      <c r="J11" t="s">
        <v>20</v>
      </c>
      <c r="K11">
        <v>95</v>
      </c>
      <c r="L11" t="s">
        <v>21</v>
      </c>
      <c r="M11" t="s">
        <v>30</v>
      </c>
      <c r="N11">
        <f t="shared" si="1"/>
        <v>1</v>
      </c>
      <c r="O11">
        <f t="shared" si="0"/>
        <v>1</v>
      </c>
    </row>
    <row r="12" spans="1:15" x14ac:dyDescent="0.3">
      <c r="A12" t="s">
        <v>69</v>
      </c>
      <c r="B12" t="s">
        <v>70</v>
      </c>
      <c r="C12" t="s">
        <v>25</v>
      </c>
      <c r="D12">
        <v>6.9</v>
      </c>
      <c r="E12" t="s">
        <v>26</v>
      </c>
      <c r="F12" t="s">
        <v>71</v>
      </c>
      <c r="H12" t="s">
        <v>35</v>
      </c>
      <c r="I12">
        <v>0</v>
      </c>
      <c r="J12" t="s">
        <v>36</v>
      </c>
      <c r="K12">
        <v>52</v>
      </c>
      <c r="L12" t="s">
        <v>72</v>
      </c>
      <c r="M12" t="s">
        <v>35</v>
      </c>
      <c r="N12">
        <f t="shared" si="1"/>
        <v>0</v>
      </c>
      <c r="O12">
        <f t="shared" si="0"/>
        <v>0</v>
      </c>
    </row>
    <row r="13" spans="1:15" x14ac:dyDescent="0.3">
      <c r="A13" t="s">
        <v>73</v>
      </c>
      <c r="B13" t="s">
        <v>74</v>
      </c>
      <c r="C13" t="s">
        <v>15</v>
      </c>
      <c r="D13">
        <v>8.6999999999999993</v>
      </c>
      <c r="E13" t="s">
        <v>16</v>
      </c>
      <c r="F13" t="s">
        <v>75</v>
      </c>
      <c r="G13" t="s">
        <v>18</v>
      </c>
      <c r="H13" t="s">
        <v>19</v>
      </c>
      <c r="I13">
        <v>7</v>
      </c>
      <c r="J13" t="s">
        <v>20</v>
      </c>
      <c r="K13">
        <v>82</v>
      </c>
      <c r="L13" t="s">
        <v>29</v>
      </c>
      <c r="M13" t="s">
        <v>22</v>
      </c>
      <c r="N13">
        <f t="shared" si="1"/>
        <v>1</v>
      </c>
      <c r="O13">
        <f t="shared" si="0"/>
        <v>1</v>
      </c>
    </row>
    <row r="14" spans="1:15" x14ac:dyDescent="0.3">
      <c r="A14" t="s">
        <v>76</v>
      </c>
      <c r="B14" t="s">
        <v>77</v>
      </c>
      <c r="C14" t="s">
        <v>46</v>
      </c>
      <c r="D14">
        <v>7.8</v>
      </c>
      <c r="E14" t="s">
        <v>16</v>
      </c>
      <c r="F14" t="s">
        <v>47</v>
      </c>
      <c r="G14" t="s">
        <v>78</v>
      </c>
      <c r="H14" t="s">
        <v>42</v>
      </c>
      <c r="I14">
        <v>9</v>
      </c>
      <c r="J14" t="s">
        <v>20</v>
      </c>
      <c r="K14">
        <v>76</v>
      </c>
      <c r="L14" t="s">
        <v>37</v>
      </c>
      <c r="M14" t="s">
        <v>56</v>
      </c>
      <c r="N14">
        <f t="shared" si="1"/>
        <v>1</v>
      </c>
      <c r="O14">
        <f t="shared" si="0"/>
        <v>1</v>
      </c>
    </row>
    <row r="15" spans="1:15" x14ac:dyDescent="0.3">
      <c r="A15" t="s">
        <v>79</v>
      </c>
      <c r="B15" t="s">
        <v>80</v>
      </c>
      <c r="C15" t="s">
        <v>25</v>
      </c>
      <c r="D15">
        <v>8.1</v>
      </c>
      <c r="E15" t="s">
        <v>26</v>
      </c>
      <c r="F15" t="s">
        <v>81</v>
      </c>
      <c r="G15" t="s">
        <v>82</v>
      </c>
      <c r="H15" t="s">
        <v>19</v>
      </c>
      <c r="I15">
        <v>6.2</v>
      </c>
      <c r="J15" t="s">
        <v>20</v>
      </c>
      <c r="K15">
        <v>71</v>
      </c>
      <c r="L15" t="s">
        <v>48</v>
      </c>
      <c r="M15" t="s">
        <v>22</v>
      </c>
      <c r="N15">
        <f t="shared" si="1"/>
        <v>1</v>
      </c>
      <c r="O15">
        <f t="shared" si="0"/>
        <v>0</v>
      </c>
    </row>
    <row r="16" spans="1:15" x14ac:dyDescent="0.3">
      <c r="A16" t="s">
        <v>83</v>
      </c>
      <c r="B16" t="s">
        <v>84</v>
      </c>
      <c r="C16" t="s">
        <v>15</v>
      </c>
      <c r="D16">
        <v>7.3</v>
      </c>
      <c r="E16" t="s">
        <v>16</v>
      </c>
      <c r="F16" t="s">
        <v>85</v>
      </c>
      <c r="H16" t="s">
        <v>35</v>
      </c>
      <c r="I16">
        <v>0</v>
      </c>
      <c r="J16" t="s">
        <v>36</v>
      </c>
      <c r="K16">
        <v>63</v>
      </c>
      <c r="L16" t="s">
        <v>59</v>
      </c>
      <c r="M16" t="s">
        <v>35</v>
      </c>
      <c r="N16">
        <f t="shared" si="1"/>
        <v>0</v>
      </c>
      <c r="O16">
        <f t="shared" si="0"/>
        <v>1</v>
      </c>
    </row>
    <row r="17" spans="1:15" x14ac:dyDescent="0.3">
      <c r="A17" t="s">
        <v>86</v>
      </c>
      <c r="B17" t="s">
        <v>87</v>
      </c>
      <c r="C17" t="s">
        <v>15</v>
      </c>
      <c r="D17">
        <v>8.9</v>
      </c>
      <c r="E17" t="s">
        <v>16</v>
      </c>
      <c r="F17" t="s">
        <v>67</v>
      </c>
      <c r="G17" t="s">
        <v>88</v>
      </c>
      <c r="H17" t="s">
        <v>42</v>
      </c>
      <c r="I17">
        <v>20</v>
      </c>
      <c r="J17" t="s">
        <v>20</v>
      </c>
      <c r="K17">
        <v>90</v>
      </c>
      <c r="L17" t="s">
        <v>21</v>
      </c>
      <c r="M17" t="s">
        <v>43</v>
      </c>
      <c r="N17">
        <f t="shared" si="1"/>
        <v>1</v>
      </c>
      <c r="O17">
        <f t="shared" si="0"/>
        <v>1</v>
      </c>
    </row>
    <row r="18" spans="1:15" x14ac:dyDescent="0.3">
      <c r="A18" t="s">
        <v>89</v>
      </c>
      <c r="B18" t="s">
        <v>90</v>
      </c>
      <c r="C18" t="s">
        <v>33</v>
      </c>
      <c r="D18">
        <v>7</v>
      </c>
      <c r="E18" t="s">
        <v>26</v>
      </c>
      <c r="F18" t="s">
        <v>91</v>
      </c>
      <c r="H18" t="s">
        <v>35</v>
      </c>
      <c r="I18">
        <v>0</v>
      </c>
      <c r="J18" t="s">
        <v>36</v>
      </c>
      <c r="K18">
        <v>50</v>
      </c>
      <c r="L18" t="s">
        <v>72</v>
      </c>
      <c r="M18" t="s">
        <v>35</v>
      </c>
      <c r="N18">
        <f t="shared" si="1"/>
        <v>0</v>
      </c>
      <c r="O18">
        <f t="shared" si="0"/>
        <v>0</v>
      </c>
    </row>
    <row r="19" spans="1:15" x14ac:dyDescent="0.3">
      <c r="A19" t="s">
        <v>92</v>
      </c>
      <c r="B19" t="s">
        <v>93</v>
      </c>
      <c r="C19" t="s">
        <v>25</v>
      </c>
      <c r="D19">
        <v>8.4</v>
      </c>
      <c r="E19" t="s">
        <v>16</v>
      </c>
      <c r="F19" t="s">
        <v>17</v>
      </c>
      <c r="G19" t="s">
        <v>28</v>
      </c>
      <c r="H19" t="s">
        <v>19</v>
      </c>
      <c r="I19">
        <v>6.8</v>
      </c>
      <c r="J19" t="s">
        <v>20</v>
      </c>
      <c r="K19">
        <v>79</v>
      </c>
      <c r="L19" t="s">
        <v>29</v>
      </c>
      <c r="M19" t="s">
        <v>30</v>
      </c>
      <c r="N19">
        <f t="shared" si="1"/>
        <v>1</v>
      </c>
      <c r="O19">
        <f t="shared" si="0"/>
        <v>1</v>
      </c>
    </row>
    <row r="20" spans="1:15" x14ac:dyDescent="0.3">
      <c r="A20" t="s">
        <v>94</v>
      </c>
      <c r="B20" t="s">
        <v>95</v>
      </c>
      <c r="C20" t="s">
        <v>15</v>
      </c>
      <c r="D20">
        <v>8.6</v>
      </c>
      <c r="E20" t="s">
        <v>16</v>
      </c>
      <c r="F20" t="s">
        <v>96</v>
      </c>
      <c r="G20" t="s">
        <v>41</v>
      </c>
      <c r="H20" t="s">
        <v>42</v>
      </c>
      <c r="I20">
        <v>17</v>
      </c>
      <c r="J20" t="s">
        <v>20</v>
      </c>
      <c r="K20">
        <v>88</v>
      </c>
      <c r="L20" t="s">
        <v>37</v>
      </c>
      <c r="M20" t="s">
        <v>43</v>
      </c>
      <c r="N20">
        <f t="shared" si="1"/>
        <v>1</v>
      </c>
      <c r="O20">
        <f t="shared" si="0"/>
        <v>1</v>
      </c>
    </row>
    <row r="21" spans="1:15" x14ac:dyDescent="0.3">
      <c r="A21" t="s">
        <v>97</v>
      </c>
      <c r="B21" t="s">
        <v>98</v>
      </c>
      <c r="C21" t="s">
        <v>46</v>
      </c>
      <c r="D21">
        <v>7.1</v>
      </c>
      <c r="E21" t="s">
        <v>26</v>
      </c>
      <c r="F21" t="s">
        <v>47</v>
      </c>
      <c r="H21" t="s">
        <v>35</v>
      </c>
      <c r="I21">
        <v>0</v>
      </c>
      <c r="J21" t="s">
        <v>36</v>
      </c>
      <c r="K21">
        <v>57</v>
      </c>
      <c r="L21" t="s">
        <v>59</v>
      </c>
      <c r="M21" t="s">
        <v>35</v>
      </c>
      <c r="N21">
        <f t="shared" si="1"/>
        <v>0</v>
      </c>
      <c r="O21">
        <f t="shared" si="0"/>
        <v>0</v>
      </c>
    </row>
    <row r="22" spans="1:15" x14ac:dyDescent="0.3">
      <c r="A22" t="s">
        <v>99</v>
      </c>
      <c r="B22" t="s">
        <v>100</v>
      </c>
      <c r="C22" t="s">
        <v>15</v>
      </c>
      <c r="D22">
        <v>8.1999999999999993</v>
      </c>
      <c r="E22" t="s">
        <v>16</v>
      </c>
      <c r="F22" t="s">
        <v>101</v>
      </c>
      <c r="G22" t="s">
        <v>52</v>
      </c>
      <c r="H22" t="s">
        <v>19</v>
      </c>
      <c r="I22">
        <v>6.5</v>
      </c>
      <c r="J22" t="s">
        <v>20</v>
      </c>
      <c r="K22">
        <v>75</v>
      </c>
      <c r="L22" t="s">
        <v>48</v>
      </c>
      <c r="M22" t="s">
        <v>22</v>
      </c>
      <c r="N22">
        <f t="shared" si="1"/>
        <v>1</v>
      </c>
      <c r="O22">
        <f t="shared" si="0"/>
        <v>1</v>
      </c>
    </row>
    <row r="23" spans="1:15" x14ac:dyDescent="0.3">
      <c r="A23" t="s">
        <v>102</v>
      </c>
      <c r="B23" t="s">
        <v>103</v>
      </c>
      <c r="C23" t="s">
        <v>25</v>
      </c>
      <c r="D23">
        <v>9</v>
      </c>
      <c r="E23" t="s">
        <v>16</v>
      </c>
      <c r="F23" t="s">
        <v>67</v>
      </c>
      <c r="G23" t="s">
        <v>68</v>
      </c>
      <c r="H23" t="s">
        <v>42</v>
      </c>
      <c r="I23">
        <v>23</v>
      </c>
      <c r="J23" t="s">
        <v>20</v>
      </c>
      <c r="K23">
        <v>93</v>
      </c>
      <c r="L23" t="s">
        <v>21</v>
      </c>
      <c r="M23" t="s">
        <v>30</v>
      </c>
      <c r="N23">
        <f t="shared" si="1"/>
        <v>1</v>
      </c>
      <c r="O23">
        <f t="shared" si="0"/>
        <v>1</v>
      </c>
    </row>
    <row r="24" spans="1:15" x14ac:dyDescent="0.3">
      <c r="A24" t="s">
        <v>104</v>
      </c>
      <c r="B24" t="s">
        <v>105</v>
      </c>
      <c r="C24" t="s">
        <v>33</v>
      </c>
      <c r="D24">
        <v>7.6</v>
      </c>
      <c r="E24" t="s">
        <v>16</v>
      </c>
      <c r="F24" t="s">
        <v>62</v>
      </c>
      <c r="G24" t="s">
        <v>63</v>
      </c>
      <c r="H24" t="s">
        <v>19</v>
      </c>
      <c r="I24">
        <v>5.8</v>
      </c>
      <c r="J24" t="s">
        <v>20</v>
      </c>
      <c r="K24">
        <v>69</v>
      </c>
      <c r="L24" t="s">
        <v>37</v>
      </c>
      <c r="M24" t="s">
        <v>64</v>
      </c>
      <c r="N24">
        <f t="shared" si="1"/>
        <v>1</v>
      </c>
      <c r="O24">
        <f t="shared" si="0"/>
        <v>1</v>
      </c>
    </row>
    <row r="25" spans="1:15" x14ac:dyDescent="0.3">
      <c r="A25" t="s">
        <v>106</v>
      </c>
      <c r="B25" t="s">
        <v>107</v>
      </c>
      <c r="C25" t="s">
        <v>15</v>
      </c>
      <c r="D25">
        <v>8.8000000000000007</v>
      </c>
      <c r="E25" t="s">
        <v>16</v>
      </c>
      <c r="F25" t="s">
        <v>108</v>
      </c>
      <c r="G25" t="s">
        <v>88</v>
      </c>
      <c r="H25" t="s">
        <v>42</v>
      </c>
      <c r="I25">
        <v>19</v>
      </c>
      <c r="J25" t="s">
        <v>20</v>
      </c>
      <c r="K25">
        <v>91</v>
      </c>
      <c r="L25" t="s">
        <v>29</v>
      </c>
      <c r="M25" t="s">
        <v>43</v>
      </c>
      <c r="N25">
        <f t="shared" si="1"/>
        <v>1</v>
      </c>
      <c r="O25">
        <f t="shared" si="0"/>
        <v>1</v>
      </c>
    </row>
    <row r="26" spans="1:15" x14ac:dyDescent="0.3">
      <c r="A26" t="s">
        <v>109</v>
      </c>
      <c r="B26" t="s">
        <v>110</v>
      </c>
      <c r="C26" t="s">
        <v>46</v>
      </c>
      <c r="D26">
        <v>6.7</v>
      </c>
      <c r="E26" t="s">
        <v>26</v>
      </c>
      <c r="F26" t="s">
        <v>47</v>
      </c>
      <c r="H26" t="s">
        <v>35</v>
      </c>
      <c r="I26">
        <v>0</v>
      </c>
      <c r="J26" t="s">
        <v>36</v>
      </c>
      <c r="K26">
        <v>49</v>
      </c>
      <c r="L26" t="s">
        <v>72</v>
      </c>
      <c r="M26" t="s">
        <v>35</v>
      </c>
      <c r="N26">
        <f>IF(J26="Placed",1,0)</f>
        <v>0</v>
      </c>
      <c r="O26">
        <f t="shared" si="0"/>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EF93-46AE-4F28-9374-64C700C3E33F}">
  <dimension ref="A1"/>
  <sheetViews>
    <sheetView tabSelected="1" workbookViewId="0">
      <selection activeCell="O14" sqref="O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FA36-E22A-407A-B1BC-07D00C7FEFD7}">
  <dimension ref="A2:F10"/>
  <sheetViews>
    <sheetView workbookViewId="0">
      <selection activeCell="F8" sqref="F8"/>
    </sheetView>
  </sheetViews>
  <sheetFormatPr defaultRowHeight="14.4" x14ac:dyDescent="0.3"/>
  <cols>
    <col min="2" max="2" width="11.109375" customWidth="1"/>
  </cols>
  <sheetData>
    <row r="2" spans="1:6" ht="25.8" x14ac:dyDescent="0.5">
      <c r="A2" s="8" t="s">
        <v>125</v>
      </c>
      <c r="B2" s="9"/>
      <c r="C2" s="9"/>
      <c r="D2" s="9"/>
      <c r="E2" s="9"/>
      <c r="F2" s="9"/>
    </row>
    <row r="4" spans="1:6" ht="18" x14ac:dyDescent="0.35">
      <c r="A4" s="5" t="s">
        <v>126</v>
      </c>
      <c r="B4" s="6"/>
      <c r="C4" s="7">
        <f>COUNTA(Raw_Data!A:A)-1</f>
        <v>25</v>
      </c>
    </row>
    <row r="5" spans="1:6" x14ac:dyDescent="0.3">
      <c r="A5" s="4"/>
      <c r="B5" s="4"/>
    </row>
    <row r="6" spans="1:6" ht="18" x14ac:dyDescent="0.35">
      <c r="A6" s="5" t="s">
        <v>127</v>
      </c>
      <c r="B6" s="5"/>
      <c r="C6" s="7">
        <f>COUNTIF(Raw_Data!J:J,"Placed")</f>
        <v>17</v>
      </c>
    </row>
    <row r="7" spans="1:6" x14ac:dyDescent="0.3">
      <c r="A7" s="4"/>
      <c r="B7" s="4"/>
    </row>
    <row r="8" spans="1:6" ht="18" x14ac:dyDescent="0.35">
      <c r="A8" s="5" t="s">
        <v>128</v>
      </c>
      <c r="B8" s="5"/>
      <c r="C8" s="7">
        <f>C4/C6</f>
        <v>1.4705882352941178</v>
      </c>
    </row>
    <row r="9" spans="1:6" x14ac:dyDescent="0.3">
      <c r="A9" s="4"/>
      <c r="B9" s="4"/>
    </row>
    <row r="10" spans="1:6" ht="18" x14ac:dyDescent="0.35">
      <c r="A10" s="5" t="s">
        <v>129</v>
      </c>
      <c r="B10" s="5"/>
      <c r="C10" s="7">
        <f>MAX(Raw_Data!I:I)</f>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Raw_Data</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Shruti Kolpyakwar</cp:lastModifiedBy>
  <dcterms:created xsi:type="dcterms:W3CDTF">2026-02-06T08:19:53Z</dcterms:created>
  <dcterms:modified xsi:type="dcterms:W3CDTF">2026-02-06T14:11:35Z</dcterms:modified>
</cp:coreProperties>
</file>