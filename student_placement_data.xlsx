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UTI\Downloads\"/>
    </mc:Choice>
  </mc:AlternateContent>
  <xr:revisionPtr revIDLastSave="0" documentId="13_ncr:1_{65FDE608-047A-4809-B78B-9318F856C9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" i="1"/>
  <c r="N2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</calcChain>
</file>

<file path=xl/sharedStrings.xml><?xml version="1.0" encoding="utf-8"?>
<sst xmlns="http://schemas.openxmlformats.org/spreadsheetml/2006/main" count="257" uniqueCount="113">
  <si>
    <t>StudentID</t>
  </si>
  <si>
    <t>StudentName</t>
  </si>
  <si>
    <t>Branch</t>
  </si>
  <si>
    <t>CGPA</t>
  </si>
  <si>
    <t>Internship</t>
  </si>
  <si>
    <t>Skills</t>
  </si>
  <si>
    <t>Company</t>
  </si>
  <si>
    <t>CompanyType</t>
  </si>
  <si>
    <t>Package_LPA</t>
  </si>
  <si>
    <t>PlacementStatus</t>
  </si>
  <si>
    <t>InterviewScore</t>
  </si>
  <si>
    <t>Month</t>
  </si>
  <si>
    <t>Location</t>
  </si>
  <si>
    <t>S001</t>
  </si>
  <si>
    <t>Aarav</t>
  </si>
  <si>
    <t>CS</t>
  </si>
  <si>
    <t>Yes</t>
  </si>
  <si>
    <t>Python;SQL</t>
  </si>
  <si>
    <t>TCS</t>
  </si>
  <si>
    <t>Service</t>
  </si>
  <si>
    <t>Placed</t>
  </si>
  <si>
    <t>Jan</t>
  </si>
  <si>
    <t>Pune</t>
  </si>
  <si>
    <t>S002</t>
  </si>
  <si>
    <t>Riya</t>
  </si>
  <si>
    <t>IT</t>
  </si>
  <si>
    <t>No</t>
  </si>
  <si>
    <t>Java;DSA</t>
  </si>
  <si>
    <t>Infosys</t>
  </si>
  <si>
    <t>Feb</t>
  </si>
  <si>
    <t>Bangalore</t>
  </si>
  <si>
    <t>S003</t>
  </si>
  <si>
    <t>Kunal</t>
  </si>
  <si>
    <t>ME</t>
  </si>
  <si>
    <t>AutoCAD</t>
  </si>
  <si>
    <t>NA</t>
  </si>
  <si>
    <t>Not Placed</t>
  </si>
  <si>
    <t>Mar</t>
  </si>
  <si>
    <t>S004</t>
  </si>
  <si>
    <t>Neha</t>
  </si>
  <si>
    <t>Python;ML</t>
  </si>
  <si>
    <t>Amazon</t>
  </si>
  <si>
    <t>Product</t>
  </si>
  <si>
    <t>Hyderabad</t>
  </si>
  <si>
    <t>S005</t>
  </si>
  <si>
    <t>Rohan</t>
  </si>
  <si>
    <t>EE</t>
  </si>
  <si>
    <t>Core EE</t>
  </si>
  <si>
    <t>Apr</t>
  </si>
  <si>
    <t>S006</t>
  </si>
  <si>
    <t>Simran</t>
  </si>
  <si>
    <t>Web;React</t>
  </si>
  <si>
    <t>Wipro</t>
  </si>
  <si>
    <t>S007</t>
  </si>
  <si>
    <t>Aditya</t>
  </si>
  <si>
    <t>Accenture</t>
  </si>
  <si>
    <t>Mumbai</t>
  </si>
  <si>
    <t>S008</t>
  </si>
  <si>
    <t>Pooja</t>
  </si>
  <si>
    <t>May</t>
  </si>
  <si>
    <t>S009</t>
  </si>
  <si>
    <t>Amit</t>
  </si>
  <si>
    <t>Design</t>
  </si>
  <si>
    <t>LTTS</t>
  </si>
  <si>
    <t>Chennai</t>
  </si>
  <si>
    <t>S010</t>
  </si>
  <si>
    <t>Kavya</t>
  </si>
  <si>
    <t>ML;Python</t>
  </si>
  <si>
    <t>Google</t>
  </si>
  <si>
    <t>S011</t>
  </si>
  <si>
    <t>Raj</t>
  </si>
  <si>
    <t>Testing</t>
  </si>
  <si>
    <t>Jun</t>
  </si>
  <si>
    <t>S012</t>
  </si>
  <si>
    <t>Sneha</t>
  </si>
  <si>
    <t>Python;Data</t>
  </si>
  <si>
    <t>S013</t>
  </si>
  <si>
    <t>Omkar</t>
  </si>
  <si>
    <t>Siemens</t>
  </si>
  <si>
    <t>S014</t>
  </si>
  <si>
    <t>Meera</t>
  </si>
  <si>
    <t>Java;SQL</t>
  </si>
  <si>
    <t>Capgemini</t>
  </si>
  <si>
    <t>S015</t>
  </si>
  <si>
    <t>Varun</t>
  </si>
  <si>
    <t>Web;Node</t>
  </si>
  <si>
    <t>S016</t>
  </si>
  <si>
    <t>Anjali</t>
  </si>
  <si>
    <t>Microsoft</t>
  </si>
  <si>
    <t>S017</t>
  </si>
  <si>
    <t>Tejas</t>
  </si>
  <si>
    <t>Core ME</t>
  </si>
  <si>
    <t>S018</t>
  </si>
  <si>
    <t>Divya</t>
  </si>
  <si>
    <t>S019</t>
  </si>
  <si>
    <t>Nikhil</t>
  </si>
  <si>
    <t>Data;SQL</t>
  </si>
  <si>
    <t>S020</t>
  </si>
  <si>
    <t>Prerna</t>
  </si>
  <si>
    <t>S021</t>
  </si>
  <si>
    <t>Yash</t>
  </si>
  <si>
    <t>React;JS</t>
  </si>
  <si>
    <t>S022</t>
  </si>
  <si>
    <t>Tanvi</t>
  </si>
  <si>
    <t>S023</t>
  </si>
  <si>
    <t>Sagar</t>
  </si>
  <si>
    <t>S024</t>
  </si>
  <si>
    <t>Isha</t>
  </si>
  <si>
    <t>Data;Python</t>
  </si>
  <si>
    <t>S025</t>
  </si>
  <si>
    <t>Harsh</t>
  </si>
  <si>
    <t>Placement Flag</t>
  </si>
  <si>
    <t>Internship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</si>
</sst>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N25" sqref="N25"/>
    </sheetView>
  </sheetViews>
  <sheetFormatPr defaultRowHeight="14.4" x14ac:dyDescent="0.3"/>
  <cols>
    <col min="6" max="6" width="19.33203125" customWidth="1"/>
    <col min="7" max="7" width="14.6640625" customWidth="1"/>
    <col min="8" max="8" width="14.5546875" customWidth="1"/>
    <col min="9" max="9" width="11.6640625" bestFit="1" customWidth="1"/>
    <col min="10" max="10" width="14.6640625" bestFit="1" customWidth="1"/>
    <col min="11" max="11" width="13.21875" customWidth="1"/>
    <col min="12" max="12" width="15.21875" customWidth="1"/>
    <col min="13" max="13" width="14.88671875" customWidth="1"/>
    <col min="14" max="14" width="17.21875" customWidth="1"/>
    <col min="15" max="15" width="17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111</v>
      </c>
      <c r="O1" t="s">
        <v>112</v>
      </c>
    </row>
    <row r="2" spans="1:15" x14ac:dyDescent="0.3">
      <c r="A2" t="s">
        <v>13</v>
      </c>
      <c r="B2" t="s">
        <v>14</v>
      </c>
      <c r="C2" t="s">
        <v>15</v>
      </c>
      <c r="D2">
        <v>8.5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 t="s">
        <v>20</v>
      </c>
      <c r="K2">
        <v>78</v>
      </c>
      <c r="L2" t="s">
        <v>21</v>
      </c>
      <c r="M2" t="s">
        <v>22</v>
      </c>
      <c r="N2">
        <f>IF(J2="Placed",1,0)</f>
        <v>1</v>
      </c>
      <c r="O2">
        <f>IF(E2="Yes",1,0)</f>
        <v>1</v>
      </c>
    </row>
    <row r="3" spans="1:15" x14ac:dyDescent="0.3">
      <c r="A3" t="s">
        <v>23</v>
      </c>
      <c r="B3" t="s">
        <v>24</v>
      </c>
      <c r="C3" t="s">
        <v>25</v>
      </c>
      <c r="D3">
        <v>7.9</v>
      </c>
      <c r="E3" t="s">
        <v>26</v>
      </c>
      <c r="F3" t="s">
        <v>27</v>
      </c>
      <c r="G3" t="s">
        <v>28</v>
      </c>
      <c r="H3" t="s">
        <v>19</v>
      </c>
      <c r="I3">
        <v>6</v>
      </c>
      <c r="J3" t="s">
        <v>20</v>
      </c>
      <c r="K3">
        <v>70</v>
      </c>
      <c r="L3" t="s">
        <v>29</v>
      </c>
      <c r="M3" t="s">
        <v>30</v>
      </c>
      <c r="N3">
        <f>IF(J3="Placed",1,0)</f>
        <v>1</v>
      </c>
      <c r="O3">
        <f t="shared" ref="O3:O26" si="0">IF(E3="Yes",1,0)</f>
        <v>0</v>
      </c>
    </row>
    <row r="4" spans="1:15" x14ac:dyDescent="0.3">
      <c r="A4" t="s">
        <v>31</v>
      </c>
      <c r="B4" t="s">
        <v>32</v>
      </c>
      <c r="C4" t="s">
        <v>33</v>
      </c>
      <c r="D4">
        <v>7.2</v>
      </c>
      <c r="E4" t="s">
        <v>26</v>
      </c>
      <c r="F4" t="s">
        <v>34</v>
      </c>
      <c r="H4" t="s">
        <v>35</v>
      </c>
      <c r="I4">
        <v>0</v>
      </c>
      <c r="J4" t="s">
        <v>36</v>
      </c>
      <c r="K4">
        <v>55</v>
      </c>
      <c r="L4" t="s">
        <v>37</v>
      </c>
      <c r="M4" t="s">
        <v>35</v>
      </c>
      <c r="N4">
        <f t="shared" ref="N3:N26" si="1">IF(J4="Placed",1,0)</f>
        <v>0</v>
      </c>
      <c r="O4">
        <f t="shared" si="0"/>
        <v>0</v>
      </c>
    </row>
    <row r="5" spans="1:15" x14ac:dyDescent="0.3">
      <c r="A5" t="s">
        <v>38</v>
      </c>
      <c r="B5" t="s">
        <v>39</v>
      </c>
      <c r="C5" t="s">
        <v>15</v>
      </c>
      <c r="D5">
        <v>9.1</v>
      </c>
      <c r="E5" t="s">
        <v>16</v>
      </c>
      <c r="F5" t="s">
        <v>40</v>
      </c>
      <c r="G5" t="s">
        <v>41</v>
      </c>
      <c r="H5" t="s">
        <v>42</v>
      </c>
      <c r="I5">
        <v>18</v>
      </c>
      <c r="J5" t="s">
        <v>20</v>
      </c>
      <c r="K5">
        <v>92</v>
      </c>
      <c r="L5" t="s">
        <v>21</v>
      </c>
      <c r="M5" t="s">
        <v>43</v>
      </c>
      <c r="N5">
        <f t="shared" si="1"/>
        <v>1</v>
      </c>
      <c r="O5">
        <f t="shared" si="0"/>
        <v>1</v>
      </c>
    </row>
    <row r="6" spans="1:15" x14ac:dyDescent="0.3">
      <c r="A6" t="s">
        <v>44</v>
      </c>
      <c r="B6" t="s">
        <v>45</v>
      </c>
      <c r="C6" t="s">
        <v>46</v>
      </c>
      <c r="D6">
        <v>6.8</v>
      </c>
      <c r="E6" t="s">
        <v>26</v>
      </c>
      <c r="F6" t="s">
        <v>47</v>
      </c>
      <c r="H6" t="s">
        <v>35</v>
      </c>
      <c r="I6">
        <v>0</v>
      </c>
      <c r="J6" t="s">
        <v>36</v>
      </c>
      <c r="K6">
        <v>48</v>
      </c>
      <c r="L6" t="s">
        <v>48</v>
      </c>
      <c r="M6" t="s">
        <v>35</v>
      </c>
      <c r="N6">
        <f t="shared" si="1"/>
        <v>0</v>
      </c>
      <c r="O6">
        <f t="shared" si="0"/>
        <v>0</v>
      </c>
    </row>
    <row r="7" spans="1:15" x14ac:dyDescent="0.3">
      <c r="A7" t="s">
        <v>49</v>
      </c>
      <c r="B7" t="s">
        <v>50</v>
      </c>
      <c r="C7" t="s">
        <v>15</v>
      </c>
      <c r="D7">
        <v>8</v>
      </c>
      <c r="E7" t="s">
        <v>16</v>
      </c>
      <c r="F7" t="s">
        <v>51</v>
      </c>
      <c r="G7" t="s">
        <v>52</v>
      </c>
      <c r="H7" t="s">
        <v>19</v>
      </c>
      <c r="I7">
        <v>6.5</v>
      </c>
      <c r="J7" t="s">
        <v>20</v>
      </c>
      <c r="K7">
        <v>74</v>
      </c>
      <c r="L7" t="s">
        <v>37</v>
      </c>
      <c r="M7" t="s">
        <v>22</v>
      </c>
      <c r="N7">
        <f t="shared" si="1"/>
        <v>1</v>
      </c>
      <c r="O7">
        <f t="shared" si="0"/>
        <v>1</v>
      </c>
    </row>
    <row r="8" spans="1:15" x14ac:dyDescent="0.3">
      <c r="A8" t="s">
        <v>53</v>
      </c>
      <c r="B8" t="s">
        <v>54</v>
      </c>
      <c r="C8" t="s">
        <v>25</v>
      </c>
      <c r="D8">
        <v>8.3000000000000007</v>
      </c>
      <c r="E8" t="s">
        <v>16</v>
      </c>
      <c r="F8" t="s">
        <v>17</v>
      </c>
      <c r="G8" t="s">
        <v>55</v>
      </c>
      <c r="H8" t="s">
        <v>19</v>
      </c>
      <c r="I8">
        <v>7.2</v>
      </c>
      <c r="J8" t="s">
        <v>20</v>
      </c>
      <c r="K8">
        <v>80</v>
      </c>
      <c r="L8" t="s">
        <v>29</v>
      </c>
      <c r="M8" t="s">
        <v>56</v>
      </c>
      <c r="N8">
        <f t="shared" si="1"/>
        <v>1</v>
      </c>
      <c r="O8">
        <f t="shared" si="0"/>
        <v>1</v>
      </c>
    </row>
    <row r="9" spans="1:15" x14ac:dyDescent="0.3">
      <c r="A9" t="s">
        <v>57</v>
      </c>
      <c r="B9" t="s">
        <v>58</v>
      </c>
      <c r="C9" t="s">
        <v>15</v>
      </c>
      <c r="D9">
        <v>7.5</v>
      </c>
      <c r="E9" t="s">
        <v>26</v>
      </c>
      <c r="F9" t="s">
        <v>27</v>
      </c>
      <c r="H9" t="s">
        <v>35</v>
      </c>
      <c r="I9">
        <v>0</v>
      </c>
      <c r="J9" t="s">
        <v>36</v>
      </c>
      <c r="K9">
        <v>60</v>
      </c>
      <c r="L9" t="s">
        <v>59</v>
      </c>
      <c r="M9" t="s">
        <v>35</v>
      </c>
      <c r="N9">
        <f t="shared" si="1"/>
        <v>0</v>
      </c>
      <c r="O9">
        <f t="shared" si="0"/>
        <v>0</v>
      </c>
    </row>
    <row r="10" spans="1:15" x14ac:dyDescent="0.3">
      <c r="A10" t="s">
        <v>60</v>
      </c>
      <c r="B10" t="s">
        <v>61</v>
      </c>
      <c r="C10" t="s">
        <v>33</v>
      </c>
      <c r="D10">
        <v>8.1999999999999993</v>
      </c>
      <c r="E10" t="s">
        <v>16</v>
      </c>
      <c r="F10" t="s">
        <v>62</v>
      </c>
      <c r="G10" t="s">
        <v>63</v>
      </c>
      <c r="H10" t="s">
        <v>19</v>
      </c>
      <c r="I10">
        <v>5.5</v>
      </c>
      <c r="J10" t="s">
        <v>20</v>
      </c>
      <c r="K10">
        <v>73</v>
      </c>
      <c r="L10" t="s">
        <v>48</v>
      </c>
      <c r="M10" t="s">
        <v>64</v>
      </c>
      <c r="N10">
        <f t="shared" si="1"/>
        <v>1</v>
      </c>
      <c r="O10">
        <f t="shared" si="0"/>
        <v>1</v>
      </c>
    </row>
    <row r="11" spans="1:15" x14ac:dyDescent="0.3">
      <c r="A11" t="s">
        <v>65</v>
      </c>
      <c r="B11" t="s">
        <v>66</v>
      </c>
      <c r="C11" t="s">
        <v>15</v>
      </c>
      <c r="D11">
        <v>9.4</v>
      </c>
      <c r="E11" t="s">
        <v>16</v>
      </c>
      <c r="F11" t="s">
        <v>67</v>
      </c>
      <c r="G11" t="s">
        <v>68</v>
      </c>
      <c r="H11" t="s">
        <v>42</v>
      </c>
      <c r="I11">
        <v>24</v>
      </c>
      <c r="J11" t="s">
        <v>20</v>
      </c>
      <c r="K11">
        <v>95</v>
      </c>
      <c r="L11" t="s">
        <v>21</v>
      </c>
      <c r="M11" t="s">
        <v>30</v>
      </c>
      <c r="N11">
        <f t="shared" si="1"/>
        <v>1</v>
      </c>
      <c r="O11">
        <f t="shared" si="0"/>
        <v>1</v>
      </c>
    </row>
    <row r="12" spans="1:15" x14ac:dyDescent="0.3">
      <c r="A12" t="s">
        <v>69</v>
      </c>
      <c r="B12" t="s">
        <v>70</v>
      </c>
      <c r="C12" t="s">
        <v>25</v>
      </c>
      <c r="D12">
        <v>6.9</v>
      </c>
      <c r="E12" t="s">
        <v>26</v>
      </c>
      <c r="F12" t="s">
        <v>71</v>
      </c>
      <c r="H12" t="s">
        <v>35</v>
      </c>
      <c r="I12">
        <v>0</v>
      </c>
      <c r="J12" t="s">
        <v>36</v>
      </c>
      <c r="K12">
        <v>52</v>
      </c>
      <c r="L12" t="s">
        <v>72</v>
      </c>
      <c r="M12" t="s">
        <v>35</v>
      </c>
      <c r="N12">
        <f t="shared" si="1"/>
        <v>0</v>
      </c>
      <c r="O12">
        <f t="shared" si="0"/>
        <v>0</v>
      </c>
    </row>
    <row r="13" spans="1:15" x14ac:dyDescent="0.3">
      <c r="A13" t="s">
        <v>73</v>
      </c>
      <c r="B13" t="s">
        <v>74</v>
      </c>
      <c r="C13" t="s">
        <v>15</v>
      </c>
      <c r="D13">
        <v>8.6999999999999993</v>
      </c>
      <c r="E13" t="s">
        <v>16</v>
      </c>
      <c r="F13" t="s">
        <v>75</v>
      </c>
      <c r="G13" t="s">
        <v>18</v>
      </c>
      <c r="H13" t="s">
        <v>19</v>
      </c>
      <c r="I13">
        <v>7</v>
      </c>
      <c r="J13" t="s">
        <v>20</v>
      </c>
      <c r="K13">
        <v>82</v>
      </c>
      <c r="L13" t="s">
        <v>29</v>
      </c>
      <c r="M13" t="s">
        <v>22</v>
      </c>
      <c r="N13">
        <f t="shared" si="1"/>
        <v>1</v>
      </c>
      <c r="O13">
        <f t="shared" si="0"/>
        <v>1</v>
      </c>
    </row>
    <row r="14" spans="1:15" x14ac:dyDescent="0.3">
      <c r="A14" t="s">
        <v>76</v>
      </c>
      <c r="B14" t="s">
        <v>77</v>
      </c>
      <c r="C14" t="s">
        <v>46</v>
      </c>
      <c r="D14">
        <v>7.8</v>
      </c>
      <c r="E14" t="s">
        <v>16</v>
      </c>
      <c r="F14" t="s">
        <v>47</v>
      </c>
      <c r="G14" t="s">
        <v>78</v>
      </c>
      <c r="H14" t="s">
        <v>42</v>
      </c>
      <c r="I14">
        <v>9</v>
      </c>
      <c r="J14" t="s">
        <v>20</v>
      </c>
      <c r="K14">
        <v>76</v>
      </c>
      <c r="L14" t="s">
        <v>37</v>
      </c>
      <c r="M14" t="s">
        <v>56</v>
      </c>
      <c r="N14">
        <f t="shared" si="1"/>
        <v>1</v>
      </c>
      <c r="O14">
        <f t="shared" si="0"/>
        <v>1</v>
      </c>
    </row>
    <row r="15" spans="1:15" x14ac:dyDescent="0.3">
      <c r="A15" t="s">
        <v>79</v>
      </c>
      <c r="B15" t="s">
        <v>80</v>
      </c>
      <c r="C15" t="s">
        <v>25</v>
      </c>
      <c r="D15">
        <v>8.1</v>
      </c>
      <c r="E15" t="s">
        <v>26</v>
      </c>
      <c r="F15" t="s">
        <v>81</v>
      </c>
      <c r="G15" t="s">
        <v>82</v>
      </c>
      <c r="H15" t="s">
        <v>19</v>
      </c>
      <c r="I15">
        <v>6.2</v>
      </c>
      <c r="J15" t="s">
        <v>20</v>
      </c>
      <c r="K15">
        <v>71</v>
      </c>
      <c r="L15" t="s">
        <v>48</v>
      </c>
      <c r="M15" t="s">
        <v>22</v>
      </c>
      <c r="N15">
        <f t="shared" si="1"/>
        <v>1</v>
      </c>
      <c r="O15">
        <f t="shared" si="0"/>
        <v>0</v>
      </c>
    </row>
    <row r="16" spans="1:15" x14ac:dyDescent="0.3">
      <c r="A16" t="s">
        <v>83</v>
      </c>
      <c r="B16" t="s">
        <v>84</v>
      </c>
      <c r="C16" t="s">
        <v>15</v>
      </c>
      <c r="D16">
        <v>7.3</v>
      </c>
      <c r="E16" t="s">
        <v>16</v>
      </c>
      <c r="F16" t="s">
        <v>85</v>
      </c>
      <c r="H16" t="s">
        <v>35</v>
      </c>
      <c r="I16">
        <v>0</v>
      </c>
      <c r="J16" t="s">
        <v>36</v>
      </c>
      <c r="K16">
        <v>63</v>
      </c>
      <c r="L16" t="s">
        <v>59</v>
      </c>
      <c r="M16" t="s">
        <v>35</v>
      </c>
      <c r="N16">
        <f t="shared" si="1"/>
        <v>0</v>
      </c>
      <c r="O16">
        <f t="shared" si="0"/>
        <v>1</v>
      </c>
    </row>
    <row r="17" spans="1:15" x14ac:dyDescent="0.3">
      <c r="A17" t="s">
        <v>86</v>
      </c>
      <c r="B17" t="s">
        <v>87</v>
      </c>
      <c r="C17" t="s">
        <v>15</v>
      </c>
      <c r="D17">
        <v>8.9</v>
      </c>
      <c r="E17" t="s">
        <v>16</v>
      </c>
      <c r="F17" t="s">
        <v>67</v>
      </c>
      <c r="G17" t="s">
        <v>88</v>
      </c>
      <c r="H17" t="s">
        <v>42</v>
      </c>
      <c r="I17">
        <v>20</v>
      </c>
      <c r="J17" t="s">
        <v>20</v>
      </c>
      <c r="K17">
        <v>90</v>
      </c>
      <c r="L17" t="s">
        <v>21</v>
      </c>
      <c r="M17" t="s">
        <v>43</v>
      </c>
      <c r="N17">
        <f t="shared" si="1"/>
        <v>1</v>
      </c>
      <c r="O17">
        <f t="shared" si="0"/>
        <v>1</v>
      </c>
    </row>
    <row r="18" spans="1:15" x14ac:dyDescent="0.3">
      <c r="A18" t="s">
        <v>89</v>
      </c>
      <c r="B18" t="s">
        <v>90</v>
      </c>
      <c r="C18" t="s">
        <v>33</v>
      </c>
      <c r="D18">
        <v>7</v>
      </c>
      <c r="E18" t="s">
        <v>26</v>
      </c>
      <c r="F18" t="s">
        <v>91</v>
      </c>
      <c r="H18" t="s">
        <v>35</v>
      </c>
      <c r="I18">
        <v>0</v>
      </c>
      <c r="J18" t="s">
        <v>36</v>
      </c>
      <c r="K18">
        <v>50</v>
      </c>
      <c r="L18" t="s">
        <v>72</v>
      </c>
      <c r="M18" t="s">
        <v>35</v>
      </c>
      <c r="N18">
        <f t="shared" si="1"/>
        <v>0</v>
      </c>
      <c r="O18">
        <f t="shared" si="0"/>
        <v>0</v>
      </c>
    </row>
    <row r="19" spans="1:15" x14ac:dyDescent="0.3">
      <c r="A19" t="s">
        <v>92</v>
      </c>
      <c r="B19" t="s">
        <v>93</v>
      </c>
      <c r="C19" t="s">
        <v>25</v>
      </c>
      <c r="D19">
        <v>8.4</v>
      </c>
      <c r="E19" t="s">
        <v>16</v>
      </c>
      <c r="F19" t="s">
        <v>17</v>
      </c>
      <c r="G19" t="s">
        <v>28</v>
      </c>
      <c r="H19" t="s">
        <v>19</v>
      </c>
      <c r="I19">
        <v>6.8</v>
      </c>
      <c r="J19" t="s">
        <v>20</v>
      </c>
      <c r="K19">
        <v>79</v>
      </c>
      <c r="L19" t="s">
        <v>29</v>
      </c>
      <c r="M19" t="s">
        <v>30</v>
      </c>
      <c r="N19">
        <f t="shared" si="1"/>
        <v>1</v>
      </c>
      <c r="O19">
        <f t="shared" si="0"/>
        <v>1</v>
      </c>
    </row>
    <row r="20" spans="1:15" x14ac:dyDescent="0.3">
      <c r="A20" t="s">
        <v>94</v>
      </c>
      <c r="B20" t="s">
        <v>95</v>
      </c>
      <c r="C20" t="s">
        <v>15</v>
      </c>
      <c r="D20">
        <v>8.6</v>
      </c>
      <c r="E20" t="s">
        <v>16</v>
      </c>
      <c r="F20" t="s">
        <v>96</v>
      </c>
      <c r="G20" t="s">
        <v>41</v>
      </c>
      <c r="H20" t="s">
        <v>42</v>
      </c>
      <c r="I20">
        <v>17</v>
      </c>
      <c r="J20" t="s">
        <v>20</v>
      </c>
      <c r="K20">
        <v>88</v>
      </c>
      <c r="L20" t="s">
        <v>37</v>
      </c>
      <c r="M20" t="s">
        <v>43</v>
      </c>
      <c r="N20">
        <f t="shared" si="1"/>
        <v>1</v>
      </c>
      <c r="O20">
        <f t="shared" si="0"/>
        <v>1</v>
      </c>
    </row>
    <row r="21" spans="1:15" x14ac:dyDescent="0.3">
      <c r="A21" t="s">
        <v>97</v>
      </c>
      <c r="B21" t="s">
        <v>98</v>
      </c>
      <c r="C21" t="s">
        <v>46</v>
      </c>
      <c r="D21">
        <v>7.1</v>
      </c>
      <c r="E21" t="s">
        <v>26</v>
      </c>
      <c r="F21" t="s">
        <v>47</v>
      </c>
      <c r="H21" t="s">
        <v>35</v>
      </c>
      <c r="I21">
        <v>0</v>
      </c>
      <c r="J21" t="s">
        <v>36</v>
      </c>
      <c r="K21">
        <v>57</v>
      </c>
      <c r="L21" t="s">
        <v>59</v>
      </c>
      <c r="M21" t="s">
        <v>35</v>
      </c>
      <c r="N21">
        <f t="shared" si="1"/>
        <v>0</v>
      </c>
      <c r="O21">
        <f t="shared" si="0"/>
        <v>0</v>
      </c>
    </row>
    <row r="22" spans="1:15" x14ac:dyDescent="0.3">
      <c r="A22" t="s">
        <v>99</v>
      </c>
      <c r="B22" t="s">
        <v>100</v>
      </c>
      <c r="C22" t="s">
        <v>15</v>
      </c>
      <c r="D22">
        <v>8.1999999999999993</v>
      </c>
      <c r="E22" t="s">
        <v>16</v>
      </c>
      <c r="F22" t="s">
        <v>101</v>
      </c>
      <c r="G22" t="s">
        <v>52</v>
      </c>
      <c r="H22" t="s">
        <v>19</v>
      </c>
      <c r="I22">
        <v>6.5</v>
      </c>
      <c r="J22" t="s">
        <v>20</v>
      </c>
      <c r="K22">
        <v>75</v>
      </c>
      <c r="L22" t="s">
        <v>48</v>
      </c>
      <c r="M22" t="s">
        <v>22</v>
      </c>
      <c r="N22">
        <f t="shared" si="1"/>
        <v>1</v>
      </c>
      <c r="O22">
        <f t="shared" si="0"/>
        <v>1</v>
      </c>
    </row>
    <row r="23" spans="1:15" x14ac:dyDescent="0.3">
      <c r="A23" t="s">
        <v>102</v>
      </c>
      <c r="B23" t="s">
        <v>103</v>
      </c>
      <c r="C23" t="s">
        <v>25</v>
      </c>
      <c r="D23">
        <v>9</v>
      </c>
      <c r="E23" t="s">
        <v>16</v>
      </c>
      <c r="F23" t="s">
        <v>67</v>
      </c>
      <c r="G23" t="s">
        <v>68</v>
      </c>
      <c r="H23" t="s">
        <v>42</v>
      </c>
      <c r="I23">
        <v>23</v>
      </c>
      <c r="J23" t="s">
        <v>20</v>
      </c>
      <c r="K23">
        <v>93</v>
      </c>
      <c r="L23" t="s">
        <v>21</v>
      </c>
      <c r="M23" t="s">
        <v>30</v>
      </c>
      <c r="N23">
        <f t="shared" si="1"/>
        <v>1</v>
      </c>
      <c r="O23">
        <f t="shared" si="0"/>
        <v>1</v>
      </c>
    </row>
    <row r="24" spans="1:15" x14ac:dyDescent="0.3">
      <c r="A24" t="s">
        <v>104</v>
      </c>
      <c r="B24" t="s">
        <v>105</v>
      </c>
      <c r="C24" t="s">
        <v>33</v>
      </c>
      <c r="D24">
        <v>7.6</v>
      </c>
      <c r="E24" t="s">
        <v>16</v>
      </c>
      <c r="F24" t="s">
        <v>62</v>
      </c>
      <c r="G24" t="s">
        <v>63</v>
      </c>
      <c r="H24" t="s">
        <v>19</v>
      </c>
      <c r="I24">
        <v>5.8</v>
      </c>
      <c r="J24" t="s">
        <v>20</v>
      </c>
      <c r="K24">
        <v>69</v>
      </c>
      <c r="L24" t="s">
        <v>37</v>
      </c>
      <c r="M24" t="s">
        <v>64</v>
      </c>
      <c r="N24">
        <f t="shared" si="1"/>
        <v>1</v>
      </c>
      <c r="O24">
        <f t="shared" si="0"/>
        <v>1</v>
      </c>
    </row>
    <row r="25" spans="1:15" x14ac:dyDescent="0.3">
      <c r="A25" t="s">
        <v>106</v>
      </c>
      <c r="B25" t="s">
        <v>107</v>
      </c>
      <c r="C25" t="s">
        <v>15</v>
      </c>
      <c r="D25">
        <v>8.8000000000000007</v>
      </c>
      <c r="E25" t="s">
        <v>16</v>
      </c>
      <c r="F25" t="s">
        <v>108</v>
      </c>
      <c r="G25" t="s">
        <v>88</v>
      </c>
      <c r="H25" t="s">
        <v>42</v>
      </c>
      <c r="I25">
        <v>19</v>
      </c>
      <c r="J25" t="s">
        <v>20</v>
      </c>
      <c r="K25">
        <v>91</v>
      </c>
      <c r="L25" t="s">
        <v>29</v>
      </c>
      <c r="M25" t="s">
        <v>43</v>
      </c>
      <c r="N25">
        <f t="shared" si="1"/>
        <v>1</v>
      </c>
      <c r="O25">
        <f t="shared" si="0"/>
        <v>1</v>
      </c>
    </row>
    <row r="26" spans="1:15" x14ac:dyDescent="0.3">
      <c r="A26" t="s">
        <v>109</v>
      </c>
      <c r="B26" t="s">
        <v>110</v>
      </c>
      <c r="C26" t="s">
        <v>46</v>
      </c>
      <c r="D26">
        <v>6.7</v>
      </c>
      <c r="E26" t="s">
        <v>26</v>
      </c>
      <c r="F26" t="s">
        <v>47</v>
      </c>
      <c r="H26" t="s">
        <v>35</v>
      </c>
      <c r="I26">
        <v>0</v>
      </c>
      <c r="J26" t="s">
        <v>36</v>
      </c>
      <c r="K26">
        <v>49</v>
      </c>
      <c r="L26" t="s">
        <v>72</v>
      </c>
      <c r="M26" t="s">
        <v>35</v>
      </c>
      <c r="N26">
        <f>IF(J26="Placed",1,0)</f>
        <v>0</v>
      </c>
      <c r="O26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Kolpyakwar</cp:lastModifiedBy>
  <dcterms:created xsi:type="dcterms:W3CDTF">2026-02-06T08:19:53Z</dcterms:created>
  <dcterms:modified xsi:type="dcterms:W3CDTF">2026-02-06T08:28:10Z</dcterms:modified>
</cp:coreProperties>
</file>